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minikkuzma/Documents/_Dokumenty/Klienci i zlecenia/Termedia/2027 05 Zjazd Radiologia/"/>
    </mc:Choice>
  </mc:AlternateContent>
  <xr:revisionPtr revIDLastSave="0" documentId="13_ncr:1_{35B6480F-28ED-7E44-A9D6-651C92C5A2F3}" xr6:coauthVersionLast="47" xr6:coauthVersionMax="47" xr10:uidLastSave="{00000000-0000-0000-0000-000000000000}"/>
  <bookViews>
    <workbookView xWindow="-8760" yWindow="-28200" windowWidth="26700" windowHeight="26800" xr2:uid="{9F8300C7-F28E-0C44-B58D-020550972672}"/>
  </bookViews>
  <sheets>
    <sheet name="PLTR 05 202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5" i="1" l="1"/>
  <c r="F205" i="1"/>
  <c r="H51" i="1"/>
  <c r="H52" i="1"/>
  <c r="H53" i="1"/>
  <c r="H54" i="1"/>
  <c r="H55" i="1"/>
  <c r="H56" i="1"/>
  <c r="H57" i="1"/>
  <c r="H59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1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8" i="1"/>
  <c r="H199" i="1"/>
  <c r="H200" i="1"/>
  <c r="H202" i="1"/>
  <c r="H203" i="1"/>
  <c r="H204" i="1"/>
  <c r="H50" i="1"/>
  <c r="F51" i="1"/>
  <c r="F52" i="1"/>
  <c r="F53" i="1"/>
  <c r="F54" i="1"/>
  <c r="F55" i="1"/>
  <c r="F56" i="1"/>
  <c r="F57" i="1"/>
  <c r="F58" i="1"/>
  <c r="H58" i="1" s="1"/>
  <c r="F59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1" i="1"/>
  <c r="F92" i="1"/>
  <c r="H92" i="1" s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4" i="1"/>
  <c r="H134" i="1" s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5" i="1"/>
  <c r="H155" i="1" s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7" i="1"/>
  <c r="H177" i="1" s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8" i="1"/>
  <c r="F199" i="1"/>
  <c r="F200" i="1"/>
  <c r="F202" i="1"/>
  <c r="F203" i="1"/>
  <c r="F204" i="1"/>
  <c r="F50" i="1"/>
  <c r="F45" i="1"/>
  <c r="H45" i="1" s="1"/>
  <c r="F39" i="1"/>
  <c r="H39" i="1" s="1"/>
  <c r="F37" i="1"/>
  <c r="H37" i="1" s="1"/>
  <c r="F36" i="1"/>
  <c r="H36" i="1" s="1"/>
  <c r="F34" i="1"/>
  <c r="H34" i="1" s="1"/>
  <c r="F33" i="1"/>
  <c r="H33" i="1" s="1"/>
  <c r="F31" i="1"/>
  <c r="H31" i="1" s="1"/>
  <c r="F30" i="1"/>
  <c r="H30" i="1" s="1"/>
  <c r="F28" i="1"/>
  <c r="H28" i="1" s="1"/>
  <c r="F27" i="1"/>
  <c r="H27" i="1" s="1"/>
  <c r="F26" i="1"/>
  <c r="H26" i="1" s="1"/>
  <c r="F24" i="1"/>
  <c r="H24" i="1" s="1"/>
  <c r="F23" i="1"/>
  <c r="H23" i="1" s="1"/>
  <c r="F21" i="1"/>
  <c r="H21" i="1" s="1"/>
  <c r="F20" i="1"/>
  <c r="H20" i="1" s="1"/>
  <c r="F18" i="1"/>
  <c r="H18" i="1" s="1"/>
  <c r="F17" i="1"/>
  <c r="H17" i="1" s="1"/>
  <c r="F15" i="1"/>
  <c r="H15" i="1" s="1"/>
  <c r="F14" i="1"/>
  <c r="H14" i="1" s="1"/>
  <c r="F12" i="1"/>
  <c r="H12" i="1" s="1"/>
  <c r="F11" i="1"/>
  <c r="H11" i="1" s="1"/>
  <c r="F8" i="1"/>
  <c r="H8" i="1" s="1"/>
  <c r="F9" i="1"/>
  <c r="H9" i="1" s="1"/>
  <c r="F4" i="1"/>
  <c r="H4" i="1" s="1"/>
  <c r="F44" i="1"/>
  <c r="H44" i="1" s="1"/>
  <c r="H43" i="1"/>
  <c r="F6" i="1"/>
  <c r="H6" i="1" s="1"/>
  <c r="F5" i="1"/>
  <c r="H5" i="1" s="1"/>
  <c r="H208" i="1" l="1"/>
  <c r="H40" i="1"/>
  <c r="H46" i="1"/>
  <c r="H210" i="1" l="1"/>
</calcChain>
</file>

<file path=xl/sharedStrings.xml><?xml version="1.0" encoding="utf-8"?>
<sst xmlns="http://schemas.openxmlformats.org/spreadsheetml/2006/main" count="304" uniqueCount="126">
  <si>
    <t>Pozycja kosztu</t>
  </si>
  <si>
    <t>Liczba</t>
  </si>
  <si>
    <t>Dni</t>
  </si>
  <si>
    <t>Cena netto</t>
  </si>
  <si>
    <t>Wartość netto</t>
  </si>
  <si>
    <t>Rabat</t>
  </si>
  <si>
    <t>Wartość netto po rabacie</t>
  </si>
  <si>
    <t>Uwagi</t>
  </si>
  <si>
    <t>Realizator dźwięku</t>
  </si>
  <si>
    <t>Realizator multimediów</t>
  </si>
  <si>
    <t>Opis</t>
  </si>
  <si>
    <t xml:space="preserve">Technik </t>
  </si>
  <si>
    <t>Technicy</t>
  </si>
  <si>
    <t>Technik</t>
  </si>
  <si>
    <t>Technik multimediów</t>
  </si>
  <si>
    <t>Transport, noclegi</t>
  </si>
  <si>
    <t>SUMA TECHNICY</t>
  </si>
  <si>
    <t>Samochód osobowy</t>
  </si>
  <si>
    <t>Noclegi</t>
  </si>
  <si>
    <t>SUMA TRANSPORT, NOCLEGI</t>
  </si>
  <si>
    <t>Sprzęt</t>
  </si>
  <si>
    <t>Kamera</t>
  </si>
  <si>
    <t>Laptop realizacyjny</t>
  </si>
  <si>
    <t>Laptop timer</t>
  </si>
  <si>
    <t>Monitor 55"</t>
  </si>
  <si>
    <t>Opcje:</t>
  </si>
  <si>
    <t>Mównica multimedialna z wbudowanym podglądem, mikrofonami i monitorem frontowym</t>
  </si>
  <si>
    <t>Slideroom</t>
  </si>
  <si>
    <t>Komplet osprzętu sieciowego</t>
  </si>
  <si>
    <t>Switche, routery - rozprowadzenie i konfiguracja sieci w salach</t>
  </si>
  <si>
    <t>Laptopy, monitory 22", dysk sieciowy z macierzą dyskową</t>
  </si>
  <si>
    <t>SUMA SPRZĘT</t>
  </si>
  <si>
    <t>ŁĄCZNIE</t>
  </si>
  <si>
    <t>Monitory powtórzeniowe</t>
  </si>
  <si>
    <t>Sesja plakatowa</t>
  </si>
  <si>
    <t>montaż 1 dzień</t>
  </si>
  <si>
    <t>montaż 2 dzień</t>
  </si>
  <si>
    <t>Koordynator</t>
  </si>
  <si>
    <t>montaż / event / demontaż</t>
  </si>
  <si>
    <t>Technik dźwięku</t>
  </si>
  <si>
    <t>Sala A - warsztaty 1</t>
  </si>
  <si>
    <t>Sala B - warsztaty 2</t>
  </si>
  <si>
    <t>Sala C1 - warsztaty 3</t>
  </si>
  <si>
    <t>Sala C2 - wykładowa 1</t>
  </si>
  <si>
    <t>Sala ONYX - wykładowa 2</t>
  </si>
  <si>
    <t>Sala wykładowa 3</t>
  </si>
  <si>
    <t>Sala wykładowa 4</t>
  </si>
  <si>
    <t>Realizator oświetlenia / operator kamery</t>
  </si>
  <si>
    <t>Sala wykładowa 5</t>
  </si>
  <si>
    <t>Sala wykładowa 6</t>
  </si>
  <si>
    <t>Sala wykładowa 7</t>
  </si>
  <si>
    <t>Sesja plakatowa, ekrany powitalne, aplikacja z quizem</t>
  </si>
  <si>
    <t>Technicy lotni</t>
  </si>
  <si>
    <t>Mikser wizyjny</t>
  </si>
  <si>
    <t>Roland V1HD+</t>
  </si>
  <si>
    <t xml:space="preserve">Sale A, B, C - warsztaty 1, 2, 3 </t>
  </si>
  <si>
    <t>Monitor timer</t>
  </si>
  <si>
    <t>22"</t>
  </si>
  <si>
    <t>43"</t>
  </si>
  <si>
    <t>Pointer, splittery, okablowanie, akcesoria</t>
  </si>
  <si>
    <t>Mikser audio cyfrowy</t>
  </si>
  <si>
    <t>Mikrofony bezprzewodowe</t>
  </si>
  <si>
    <t>Kolumna aktywna</t>
  </si>
  <si>
    <t>Monitor podgląd + statyw podłogowy</t>
  </si>
  <si>
    <t>Ledbar</t>
  </si>
  <si>
    <t>po 8 szt. na salę</t>
  </si>
  <si>
    <t>po 2 szt. na salę ?</t>
  </si>
  <si>
    <t>Mikser audio analogowy</t>
  </si>
  <si>
    <t>AnalogWay Pulse2 3G lub wyżej</t>
  </si>
  <si>
    <t>np. SQ5</t>
  </si>
  <si>
    <t>Media serwer Vmix</t>
  </si>
  <si>
    <t>16:9</t>
  </si>
  <si>
    <t xml:space="preserve">Projektor laserowy 8000 lum. </t>
  </si>
  <si>
    <t>fullHD</t>
  </si>
  <si>
    <t>Ekran projekcyjny 400x225 cm</t>
  </si>
  <si>
    <t>odsłuch</t>
  </si>
  <si>
    <t>Naświetlacz architektoniczny</t>
  </si>
  <si>
    <t>Cameo CL200</t>
  </si>
  <si>
    <t>Podest sceniczny</t>
  </si>
  <si>
    <t>Scena 6x3m z wykładziną, wysłonięciem i schodami</t>
  </si>
  <si>
    <t>Krata, wciągarki</t>
  </si>
  <si>
    <t>12 m kraty, 4 wciągarki</t>
  </si>
  <si>
    <t>Sala wykładowa 4 / inauguracja</t>
  </si>
  <si>
    <t>55"</t>
  </si>
  <si>
    <t>FX6 lub BMD Studio</t>
  </si>
  <si>
    <t>Zestaw liniowy</t>
  </si>
  <si>
    <t>16:9    2 szt po bokach sceny</t>
  </si>
  <si>
    <t>fullHD 2 szt.</t>
  </si>
  <si>
    <t>Robe x600</t>
  </si>
  <si>
    <t>Swiatlo architektura (pointy z gobo)</t>
  </si>
  <si>
    <t>Martin Mac Quantum</t>
  </si>
  <si>
    <t>Kontra</t>
  </si>
  <si>
    <t>Martin Aura XIP</t>
  </si>
  <si>
    <t>Mikser oświetleniowy</t>
  </si>
  <si>
    <t>Chamsys MQ250</t>
  </si>
  <si>
    <t>Scena 8x4m z wykładziną, wysłonięciem i schodami</t>
  </si>
  <si>
    <t>Krata, wciągarki, podstawy do kraty</t>
  </si>
  <si>
    <t>42 m kraty, 12 wciągarek, 6 podstaw</t>
  </si>
  <si>
    <t>UPS</t>
  </si>
  <si>
    <t>2,7 kW</t>
  </si>
  <si>
    <t xml:space="preserve">16:9   </t>
  </si>
  <si>
    <t>16 m kraty, 4 wciągarki</t>
  </si>
  <si>
    <t>Scena 6x3 z wykładziną, wysłonięciem i schodami</t>
  </si>
  <si>
    <t>System kolinearny L'Acoustic SYVA</t>
  </si>
  <si>
    <t>Kolumna pasywna</t>
  </si>
  <si>
    <t>L'Acoustics X8 linia opóźniająca</t>
  </si>
  <si>
    <t>zestaw</t>
  </si>
  <si>
    <t>Światło białe na scenę (podwieszone na kratownicy)</t>
  </si>
  <si>
    <t>sterowanie posterami</t>
  </si>
  <si>
    <t>Ekrany LED powitalne</t>
  </si>
  <si>
    <t>Ekran led P2.5 300 x 200 cm</t>
  </si>
  <si>
    <t>1200 x 800 px</t>
  </si>
  <si>
    <t>Sender</t>
  </si>
  <si>
    <t>Konstrukcja do ekranu</t>
  </si>
  <si>
    <t>Monitor 22" dotykowy</t>
  </si>
  <si>
    <t xml:space="preserve">Laptop </t>
  </si>
  <si>
    <t>Projektor laserowy 15000 lum. (podwieszony na kratownicy)</t>
  </si>
  <si>
    <t>Projektor laserowy 20000 lum. (podwieszony na kratownicy)</t>
  </si>
  <si>
    <t>Ekran projekcyjny 1000 x 560 cm (podwieszony na kratownicy)</t>
  </si>
  <si>
    <t>Ekran projekcyjny 800 x 450 cm (podwieszony na kratownicy)</t>
  </si>
  <si>
    <t>Ekran projekcyjny 700 x 400 cm (podwieszone na kratownicy)</t>
  </si>
  <si>
    <t>Projektor laserowy 12000 lum. (podwieszony na kratownicy)</t>
  </si>
  <si>
    <t>Ekran projekcyjny 560 x 330 cm (podwieszony na kratownicy)</t>
  </si>
  <si>
    <t>Projektor laserowy 8200 lum. (podwieszony na kratownicy)</t>
  </si>
  <si>
    <t>Samochód ciężarowy</t>
  </si>
  <si>
    <t xml:space="preserve">Obsługa audiowizualna 45. Kongresu PLTR w dniach 20-22 maja 2027 roku w Warszawie.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</si>
</sst>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zł&quot;"/>
  </numFmts>
  <fonts count="3" x14ac:knownFonts="1">
    <font>
      <sz val="12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0" fillId="0" borderId="0" xfId="0" applyNumberFormat="1"/>
    <xf numFmtId="0" fontId="0" fillId="0" borderId="7" xfId="0" applyBorder="1"/>
    <xf numFmtId="9" fontId="0" fillId="0" borderId="0" xfId="0" applyNumberFormat="1"/>
    <xf numFmtId="0" fontId="0" fillId="0" borderId="8" xfId="0" applyBorder="1"/>
    <xf numFmtId="0" fontId="0" fillId="3" borderId="9" xfId="0" applyFill="1" applyBorder="1"/>
    <xf numFmtId="0" fontId="0" fillId="3" borderId="10" xfId="0" applyFill="1" applyBorder="1"/>
    <xf numFmtId="164" fontId="0" fillId="3" borderId="10" xfId="0" applyNumberFormat="1" applyFill="1" applyBorder="1"/>
    <xf numFmtId="9" fontId="0" fillId="3" borderId="10" xfId="0" applyNumberFormat="1" applyFill="1" applyBorder="1"/>
    <xf numFmtId="0" fontId="0" fillId="3" borderId="11" xfId="0" applyFill="1" applyBorder="1"/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64" fontId="0" fillId="0" borderId="13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4" borderId="1" xfId="0" applyFill="1" applyBorder="1"/>
    <xf numFmtId="0" fontId="0" fillId="4" borderId="2" xfId="0" applyFill="1" applyBorder="1"/>
    <xf numFmtId="164" fontId="0" fillId="4" borderId="2" xfId="0" applyNumberFormat="1" applyFill="1" applyBorder="1"/>
    <xf numFmtId="164" fontId="2" fillId="4" borderId="2" xfId="0" applyNumberFormat="1" applyFont="1" applyFill="1" applyBorder="1"/>
    <xf numFmtId="0" fontId="0" fillId="4" borderId="3" xfId="0" applyFill="1" applyBorder="1"/>
    <xf numFmtId="0" fontId="0" fillId="5" borderId="0" xfId="0" applyFill="1"/>
    <xf numFmtId="164" fontId="0" fillId="5" borderId="0" xfId="0" applyNumberFormat="1" applyFill="1"/>
    <xf numFmtId="9" fontId="0" fillId="5" borderId="0" xfId="0" applyNumberFormat="1" applyFill="1"/>
    <xf numFmtId="0" fontId="2" fillId="5" borderId="7" xfId="0" applyFont="1" applyFill="1" applyBorder="1"/>
    <xf numFmtId="49" fontId="0" fillId="0" borderId="0" xfId="0" applyNumberForma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701EF-E510-614A-8CBF-EAF51B50AABC}">
  <dimension ref="A1:I219"/>
  <sheetViews>
    <sheetView tabSelected="1" topLeftCell="A175" zoomScale="110" zoomScaleNormal="110" workbookViewId="0">
      <selection activeCell="G216" sqref="G216"/>
    </sheetView>
  </sheetViews>
  <sheetFormatPr baseColWidth="10" defaultRowHeight="16" x14ac:dyDescent="0.2"/>
  <cols>
    <col min="1" max="1" width="77.1640625" bestFit="1" customWidth="1"/>
    <col min="2" max="2" width="37.1640625" customWidth="1"/>
    <col min="3" max="3" width="14.5" customWidth="1"/>
    <col min="5" max="5" width="11.5" style="1" bestFit="1" customWidth="1"/>
    <col min="6" max="6" width="13.83203125" style="1" customWidth="1"/>
    <col min="8" max="8" width="14.83203125" style="1" customWidth="1"/>
  </cols>
  <sheetData>
    <row r="1" spans="1:9" ht="27" customHeight="1" thickBot="1" x14ac:dyDescent="0.25">
      <c r="A1" s="24" t="s">
        <v>125</v>
      </c>
      <c r="B1" s="25"/>
      <c r="C1" s="25"/>
      <c r="D1" s="25"/>
      <c r="E1" s="25"/>
      <c r="F1" s="25"/>
      <c r="G1" s="25"/>
      <c r="H1" s="25"/>
      <c r="I1" s="26"/>
    </row>
    <row r="2" spans="1:9" ht="35" thickBot="1" x14ac:dyDescent="0.25">
      <c r="A2" s="10" t="s">
        <v>0</v>
      </c>
      <c r="B2" s="11" t="s">
        <v>10</v>
      </c>
      <c r="C2" s="11" t="s">
        <v>1</v>
      </c>
      <c r="D2" s="11" t="s">
        <v>2</v>
      </c>
      <c r="E2" s="12" t="s">
        <v>3</v>
      </c>
      <c r="F2" s="12" t="s">
        <v>4</v>
      </c>
      <c r="G2" s="11" t="s">
        <v>5</v>
      </c>
      <c r="H2" s="12" t="s">
        <v>6</v>
      </c>
      <c r="I2" s="13" t="s">
        <v>7</v>
      </c>
    </row>
    <row r="3" spans="1:9" x14ac:dyDescent="0.2">
      <c r="A3" s="27" t="s">
        <v>12</v>
      </c>
      <c r="B3" s="28"/>
      <c r="C3" s="28"/>
      <c r="D3" s="28"/>
      <c r="E3" s="28"/>
      <c r="F3" s="28"/>
      <c r="G3" s="28"/>
      <c r="H3" s="28"/>
      <c r="I3" s="29"/>
    </row>
    <row r="4" spans="1:9" x14ac:dyDescent="0.2">
      <c r="A4" s="2" t="s">
        <v>37</v>
      </c>
      <c r="B4" t="s">
        <v>38</v>
      </c>
      <c r="C4">
        <v>1</v>
      </c>
      <c r="D4">
        <v>5</v>
      </c>
      <c r="E4" s="1">
        <v>1200</v>
      </c>
      <c r="F4" s="1">
        <f>E4*D4</f>
        <v>6000</v>
      </c>
      <c r="G4" s="3">
        <v>0</v>
      </c>
      <c r="H4" s="1">
        <f>F4</f>
        <v>6000</v>
      </c>
      <c r="I4" s="4"/>
    </row>
    <row r="5" spans="1:9" x14ac:dyDescent="0.2">
      <c r="A5" s="2" t="s">
        <v>11</v>
      </c>
      <c r="B5" t="s">
        <v>35</v>
      </c>
      <c r="C5">
        <v>20</v>
      </c>
      <c r="D5">
        <v>1</v>
      </c>
      <c r="E5" s="1">
        <v>900</v>
      </c>
      <c r="F5" s="1">
        <f>C5*D5*E5</f>
        <v>18000</v>
      </c>
      <c r="G5" s="3">
        <v>0</v>
      </c>
      <c r="H5" s="1">
        <f>F5*(1-G5)</f>
        <v>18000</v>
      </c>
      <c r="I5" s="4"/>
    </row>
    <row r="6" spans="1:9" x14ac:dyDescent="0.2">
      <c r="A6" s="2" t="s">
        <v>13</v>
      </c>
      <c r="B6" t="s">
        <v>36</v>
      </c>
      <c r="C6">
        <v>30</v>
      </c>
      <c r="D6">
        <v>1</v>
      </c>
      <c r="E6" s="1">
        <v>900</v>
      </c>
      <c r="F6" s="1">
        <f t="shared" ref="F6:F9" si="0">C6*D6*E6</f>
        <v>27000</v>
      </c>
      <c r="G6" s="3">
        <v>0</v>
      </c>
      <c r="H6" s="1">
        <f t="shared" ref="H6:H9" si="1">F6*(1-G6)</f>
        <v>27000</v>
      </c>
      <c r="I6" s="4"/>
    </row>
    <row r="7" spans="1:9" x14ac:dyDescent="0.2">
      <c r="A7" s="22" t="s">
        <v>40</v>
      </c>
      <c r="B7" s="19"/>
      <c r="C7" s="19"/>
      <c r="D7" s="19"/>
      <c r="E7" s="20"/>
      <c r="F7" s="20"/>
      <c r="G7" s="21"/>
      <c r="H7" s="20"/>
      <c r="I7" s="4"/>
    </row>
    <row r="8" spans="1:9" x14ac:dyDescent="0.2">
      <c r="A8" s="2" t="s">
        <v>14</v>
      </c>
      <c r="C8">
        <v>1</v>
      </c>
      <c r="D8">
        <v>3</v>
      </c>
      <c r="E8" s="1">
        <v>900</v>
      </c>
      <c r="F8" s="1">
        <f t="shared" si="0"/>
        <v>2700</v>
      </c>
      <c r="G8" s="3">
        <v>0</v>
      </c>
      <c r="H8" s="1">
        <f t="shared" si="1"/>
        <v>2700</v>
      </c>
      <c r="I8" s="4"/>
    </row>
    <row r="9" spans="1:9" x14ac:dyDescent="0.2">
      <c r="A9" s="2" t="s">
        <v>39</v>
      </c>
      <c r="C9">
        <v>1</v>
      </c>
      <c r="D9">
        <v>3</v>
      </c>
      <c r="E9" s="1">
        <v>900</v>
      </c>
      <c r="F9" s="1">
        <f t="shared" si="0"/>
        <v>2700</v>
      </c>
      <c r="G9" s="3">
        <v>0</v>
      </c>
      <c r="H9" s="1">
        <f t="shared" si="1"/>
        <v>2700</v>
      </c>
      <c r="I9" s="4"/>
    </row>
    <row r="10" spans="1:9" x14ac:dyDescent="0.2">
      <c r="A10" s="22" t="s">
        <v>41</v>
      </c>
      <c r="B10" s="19"/>
      <c r="C10" s="19"/>
      <c r="D10" s="19"/>
      <c r="E10" s="20"/>
      <c r="F10" s="20"/>
      <c r="G10" s="21"/>
      <c r="H10" s="20"/>
      <c r="I10" s="4"/>
    </row>
    <row r="11" spans="1:9" x14ac:dyDescent="0.2">
      <c r="A11" s="2" t="s">
        <v>14</v>
      </c>
      <c r="C11">
        <v>1</v>
      </c>
      <c r="D11">
        <v>3</v>
      </c>
      <c r="E11" s="1">
        <v>900</v>
      </c>
      <c r="F11" s="1">
        <f t="shared" ref="F11:F12" si="2">C11*D11*E11</f>
        <v>2700</v>
      </c>
      <c r="G11" s="3">
        <v>0</v>
      </c>
      <c r="H11" s="1">
        <f t="shared" ref="H11:H12" si="3">F11*(1-G11)</f>
        <v>2700</v>
      </c>
      <c r="I11" s="4"/>
    </row>
    <row r="12" spans="1:9" x14ac:dyDescent="0.2">
      <c r="A12" s="2" t="s">
        <v>39</v>
      </c>
      <c r="C12">
        <v>1</v>
      </c>
      <c r="D12">
        <v>3</v>
      </c>
      <c r="E12" s="1">
        <v>900</v>
      </c>
      <c r="F12" s="1">
        <f t="shared" si="2"/>
        <v>2700</v>
      </c>
      <c r="G12" s="3">
        <v>0</v>
      </c>
      <c r="H12" s="1">
        <f t="shared" si="3"/>
        <v>2700</v>
      </c>
      <c r="I12" s="4"/>
    </row>
    <row r="13" spans="1:9" x14ac:dyDescent="0.2">
      <c r="A13" s="22" t="s">
        <v>42</v>
      </c>
      <c r="B13" s="19"/>
      <c r="C13" s="19"/>
      <c r="D13" s="19"/>
      <c r="E13" s="20"/>
      <c r="F13" s="20"/>
      <c r="G13" s="21"/>
      <c r="H13" s="20"/>
      <c r="I13" s="4"/>
    </row>
    <row r="14" spans="1:9" x14ac:dyDescent="0.2">
      <c r="A14" s="2" t="s">
        <v>14</v>
      </c>
      <c r="C14">
        <v>1</v>
      </c>
      <c r="D14">
        <v>3</v>
      </c>
      <c r="E14" s="1">
        <v>900</v>
      </c>
      <c r="F14" s="1">
        <f t="shared" ref="F14:F15" si="4">C14*D14*E14</f>
        <v>2700</v>
      </c>
      <c r="G14" s="3">
        <v>0</v>
      </c>
      <c r="H14" s="1">
        <f t="shared" ref="H14:H15" si="5">F14*(1-G14)</f>
        <v>2700</v>
      </c>
      <c r="I14" s="4"/>
    </row>
    <row r="15" spans="1:9" x14ac:dyDescent="0.2">
      <c r="A15" s="2" t="s">
        <v>39</v>
      </c>
      <c r="C15">
        <v>1</v>
      </c>
      <c r="D15">
        <v>3</v>
      </c>
      <c r="E15" s="1">
        <v>900</v>
      </c>
      <c r="F15" s="1">
        <f t="shared" si="4"/>
        <v>2700</v>
      </c>
      <c r="G15" s="3">
        <v>0</v>
      </c>
      <c r="H15" s="1">
        <f t="shared" si="5"/>
        <v>2700</v>
      </c>
      <c r="I15" s="4"/>
    </row>
    <row r="16" spans="1:9" x14ac:dyDescent="0.2">
      <c r="A16" s="22" t="s">
        <v>43</v>
      </c>
      <c r="B16" s="19"/>
      <c r="C16" s="19"/>
      <c r="D16" s="19"/>
      <c r="E16" s="20"/>
      <c r="F16" s="20"/>
      <c r="G16" s="21"/>
      <c r="H16" s="20"/>
      <c r="I16" s="4"/>
    </row>
    <row r="17" spans="1:9" x14ac:dyDescent="0.2">
      <c r="A17" s="2" t="s">
        <v>9</v>
      </c>
      <c r="C17">
        <v>2</v>
      </c>
      <c r="D17">
        <v>3</v>
      </c>
      <c r="E17" s="1">
        <v>900</v>
      </c>
      <c r="F17" s="1">
        <f t="shared" ref="F17:F18" si="6">C17*D17*E17</f>
        <v>5400</v>
      </c>
      <c r="G17" s="3">
        <v>0</v>
      </c>
      <c r="H17" s="1">
        <f t="shared" ref="H17:H18" si="7">F17*(1-G17)</f>
        <v>5400</v>
      </c>
      <c r="I17" s="4"/>
    </row>
    <row r="18" spans="1:9" x14ac:dyDescent="0.2">
      <c r="A18" s="2" t="s">
        <v>8</v>
      </c>
      <c r="C18">
        <v>1</v>
      </c>
      <c r="D18">
        <v>3</v>
      </c>
      <c r="E18" s="1">
        <v>900</v>
      </c>
      <c r="F18" s="1">
        <f t="shared" si="6"/>
        <v>2700</v>
      </c>
      <c r="G18" s="3">
        <v>0</v>
      </c>
      <c r="H18" s="1">
        <f t="shared" si="7"/>
        <v>2700</v>
      </c>
      <c r="I18" s="4"/>
    </row>
    <row r="19" spans="1:9" x14ac:dyDescent="0.2">
      <c r="A19" s="22" t="s">
        <v>44</v>
      </c>
      <c r="B19" s="19"/>
      <c r="C19" s="19"/>
      <c r="D19" s="19"/>
      <c r="E19" s="20"/>
      <c r="F19" s="20"/>
      <c r="G19" s="21"/>
      <c r="H19" s="20"/>
      <c r="I19" s="4"/>
    </row>
    <row r="20" spans="1:9" x14ac:dyDescent="0.2">
      <c r="A20" s="2" t="s">
        <v>9</v>
      </c>
      <c r="C20">
        <v>2</v>
      </c>
      <c r="D20">
        <v>3</v>
      </c>
      <c r="E20" s="1">
        <v>900</v>
      </c>
      <c r="F20" s="1">
        <f t="shared" ref="F20:F21" si="8">C20*D20*E20</f>
        <v>5400</v>
      </c>
      <c r="G20" s="3">
        <v>0</v>
      </c>
      <c r="H20" s="1">
        <f t="shared" ref="H20:H21" si="9">F20*(1-G20)</f>
        <v>5400</v>
      </c>
      <c r="I20" s="4"/>
    </row>
    <row r="21" spans="1:9" x14ac:dyDescent="0.2">
      <c r="A21" s="2" t="s">
        <v>8</v>
      </c>
      <c r="C21">
        <v>1</v>
      </c>
      <c r="D21">
        <v>3</v>
      </c>
      <c r="E21" s="1">
        <v>900</v>
      </c>
      <c r="F21" s="1">
        <f t="shared" si="8"/>
        <v>2700</v>
      </c>
      <c r="G21" s="3">
        <v>0</v>
      </c>
      <c r="H21" s="1">
        <f t="shared" si="9"/>
        <v>2700</v>
      </c>
      <c r="I21" s="4"/>
    </row>
    <row r="22" spans="1:9" x14ac:dyDescent="0.2">
      <c r="A22" s="22" t="s">
        <v>45</v>
      </c>
      <c r="B22" s="19"/>
      <c r="C22" s="19"/>
      <c r="D22" s="19"/>
      <c r="E22" s="20"/>
      <c r="F22" s="20"/>
      <c r="G22" s="21"/>
      <c r="H22" s="20"/>
      <c r="I22" s="4"/>
    </row>
    <row r="23" spans="1:9" x14ac:dyDescent="0.2">
      <c r="A23" s="2" t="s">
        <v>9</v>
      </c>
      <c r="C23">
        <v>2</v>
      </c>
      <c r="D23">
        <v>3</v>
      </c>
      <c r="E23" s="1">
        <v>900</v>
      </c>
      <c r="F23" s="1">
        <f t="shared" ref="F23:F24" si="10">C23*D23*E23</f>
        <v>5400</v>
      </c>
      <c r="G23" s="3">
        <v>0</v>
      </c>
      <c r="H23" s="1">
        <f t="shared" ref="H23:H24" si="11">F23*(1-G23)</f>
        <v>5400</v>
      </c>
      <c r="I23" s="4"/>
    </row>
    <row r="24" spans="1:9" x14ac:dyDescent="0.2">
      <c r="A24" s="2" t="s">
        <v>8</v>
      </c>
      <c r="C24">
        <v>1</v>
      </c>
      <c r="D24">
        <v>3</v>
      </c>
      <c r="E24" s="1">
        <v>900</v>
      </c>
      <c r="F24" s="1">
        <f t="shared" si="10"/>
        <v>2700</v>
      </c>
      <c r="G24" s="3">
        <v>0</v>
      </c>
      <c r="H24" s="1">
        <f t="shared" si="11"/>
        <v>2700</v>
      </c>
      <c r="I24" s="4"/>
    </row>
    <row r="25" spans="1:9" x14ac:dyDescent="0.2">
      <c r="A25" s="22" t="s">
        <v>46</v>
      </c>
      <c r="B25" s="19"/>
      <c r="C25" s="19"/>
      <c r="D25" s="19"/>
      <c r="E25" s="20"/>
      <c r="F25" s="20"/>
      <c r="G25" s="21"/>
      <c r="H25" s="20"/>
      <c r="I25" s="4"/>
    </row>
    <row r="26" spans="1:9" x14ac:dyDescent="0.2">
      <c r="A26" s="2" t="s">
        <v>9</v>
      </c>
      <c r="C26">
        <v>2</v>
      </c>
      <c r="D26">
        <v>3</v>
      </c>
      <c r="E26" s="1">
        <v>900</v>
      </c>
      <c r="F26" s="1">
        <f t="shared" ref="F26:F28" si="12">C26*D26*E26</f>
        <v>5400</v>
      </c>
      <c r="G26" s="3">
        <v>0</v>
      </c>
      <c r="H26" s="1">
        <f t="shared" ref="H26:H28" si="13">F26*(1-G26)</f>
        <v>5400</v>
      </c>
      <c r="I26" s="4"/>
    </row>
    <row r="27" spans="1:9" x14ac:dyDescent="0.2">
      <c r="A27" s="2" t="s">
        <v>8</v>
      </c>
      <c r="C27">
        <v>1</v>
      </c>
      <c r="D27">
        <v>3</v>
      </c>
      <c r="E27" s="1">
        <v>900</v>
      </c>
      <c r="F27" s="1">
        <f t="shared" si="12"/>
        <v>2700</v>
      </c>
      <c r="G27" s="3">
        <v>0</v>
      </c>
      <c r="H27" s="1">
        <f t="shared" si="13"/>
        <v>2700</v>
      </c>
      <c r="I27" s="4"/>
    </row>
    <row r="28" spans="1:9" x14ac:dyDescent="0.2">
      <c r="A28" s="2" t="s">
        <v>47</v>
      </c>
      <c r="C28">
        <v>1</v>
      </c>
      <c r="D28">
        <v>3</v>
      </c>
      <c r="E28" s="1">
        <v>900</v>
      </c>
      <c r="F28" s="1">
        <f t="shared" si="12"/>
        <v>2700</v>
      </c>
      <c r="G28" s="3">
        <v>0</v>
      </c>
      <c r="H28" s="1">
        <f t="shared" si="13"/>
        <v>2700</v>
      </c>
      <c r="I28" s="4"/>
    </row>
    <row r="29" spans="1:9" x14ac:dyDescent="0.2">
      <c r="A29" s="22" t="s">
        <v>48</v>
      </c>
      <c r="B29" s="19"/>
      <c r="C29" s="19"/>
      <c r="D29" s="19"/>
      <c r="E29" s="20"/>
      <c r="F29" s="20"/>
      <c r="G29" s="21"/>
      <c r="H29" s="20"/>
      <c r="I29" s="4"/>
    </row>
    <row r="30" spans="1:9" x14ac:dyDescent="0.2">
      <c r="A30" s="2" t="s">
        <v>9</v>
      </c>
      <c r="C30">
        <v>2</v>
      </c>
      <c r="D30">
        <v>3</v>
      </c>
      <c r="E30" s="1">
        <v>900</v>
      </c>
      <c r="F30" s="1">
        <f t="shared" ref="F30:F31" si="14">C30*D30*E30</f>
        <v>5400</v>
      </c>
      <c r="G30" s="3">
        <v>0</v>
      </c>
      <c r="H30" s="1">
        <f t="shared" ref="H30:H31" si="15">F30*(1-G30)</f>
        <v>5400</v>
      </c>
      <c r="I30" s="4"/>
    </row>
    <row r="31" spans="1:9" x14ac:dyDescent="0.2">
      <c r="A31" s="2" t="s">
        <v>8</v>
      </c>
      <c r="C31">
        <v>1</v>
      </c>
      <c r="D31">
        <v>3</v>
      </c>
      <c r="E31" s="1">
        <v>900</v>
      </c>
      <c r="F31" s="1">
        <f t="shared" si="14"/>
        <v>2700</v>
      </c>
      <c r="G31" s="3">
        <v>0</v>
      </c>
      <c r="H31" s="1">
        <f t="shared" si="15"/>
        <v>2700</v>
      </c>
      <c r="I31" s="4"/>
    </row>
    <row r="32" spans="1:9" x14ac:dyDescent="0.2">
      <c r="A32" s="22" t="s">
        <v>49</v>
      </c>
      <c r="B32" s="19"/>
      <c r="C32" s="19"/>
      <c r="D32" s="19"/>
      <c r="E32" s="20"/>
      <c r="F32" s="20"/>
      <c r="G32" s="21"/>
      <c r="H32" s="20"/>
      <c r="I32" s="4"/>
    </row>
    <row r="33" spans="1:9" x14ac:dyDescent="0.2">
      <c r="A33" s="2" t="s">
        <v>9</v>
      </c>
      <c r="C33">
        <v>2</v>
      </c>
      <c r="D33">
        <v>3</v>
      </c>
      <c r="E33" s="1">
        <v>900</v>
      </c>
      <c r="F33" s="1">
        <f t="shared" ref="F33:F34" si="16">C33*D33*E33</f>
        <v>5400</v>
      </c>
      <c r="G33" s="3">
        <v>0</v>
      </c>
      <c r="H33" s="1">
        <f t="shared" ref="H33:H34" si="17">F33*(1-G33)</f>
        <v>5400</v>
      </c>
      <c r="I33" s="4"/>
    </row>
    <row r="34" spans="1:9" x14ac:dyDescent="0.2">
      <c r="A34" s="2" t="s">
        <v>8</v>
      </c>
      <c r="C34">
        <v>1</v>
      </c>
      <c r="D34">
        <v>3</v>
      </c>
      <c r="E34" s="1">
        <v>900</v>
      </c>
      <c r="F34" s="1">
        <f t="shared" si="16"/>
        <v>2700</v>
      </c>
      <c r="G34" s="3">
        <v>0</v>
      </c>
      <c r="H34" s="1">
        <f t="shared" si="17"/>
        <v>2700</v>
      </c>
      <c r="I34" s="4"/>
    </row>
    <row r="35" spans="1:9" x14ac:dyDescent="0.2">
      <c r="A35" s="22" t="s">
        <v>50</v>
      </c>
      <c r="B35" s="19"/>
      <c r="C35" s="19"/>
      <c r="D35" s="19"/>
      <c r="E35" s="20"/>
      <c r="F35" s="20"/>
      <c r="G35" s="21"/>
      <c r="H35" s="20"/>
      <c r="I35" s="4"/>
    </row>
    <row r="36" spans="1:9" x14ac:dyDescent="0.2">
      <c r="A36" s="2" t="s">
        <v>9</v>
      </c>
      <c r="C36">
        <v>2</v>
      </c>
      <c r="D36">
        <v>3</v>
      </c>
      <c r="E36" s="1">
        <v>900</v>
      </c>
      <c r="F36" s="1">
        <f t="shared" ref="F36:F37" si="18">C36*D36*E36</f>
        <v>5400</v>
      </c>
      <c r="G36" s="3">
        <v>0</v>
      </c>
      <c r="H36" s="1">
        <f t="shared" ref="H36:H37" si="19">F36*(1-G36)</f>
        <v>5400</v>
      </c>
      <c r="I36" s="4"/>
    </row>
    <row r="37" spans="1:9" x14ac:dyDescent="0.2">
      <c r="A37" s="2" t="s">
        <v>8</v>
      </c>
      <c r="C37">
        <v>1</v>
      </c>
      <c r="D37">
        <v>3</v>
      </c>
      <c r="E37" s="1">
        <v>900</v>
      </c>
      <c r="F37" s="1">
        <f t="shared" si="18"/>
        <v>2700</v>
      </c>
      <c r="G37" s="3">
        <v>0</v>
      </c>
      <c r="H37" s="1">
        <f t="shared" si="19"/>
        <v>2700</v>
      </c>
      <c r="I37" s="4"/>
    </row>
    <row r="38" spans="1:9" x14ac:dyDescent="0.2">
      <c r="A38" s="22" t="s">
        <v>51</v>
      </c>
      <c r="B38" s="19"/>
      <c r="C38" s="19"/>
      <c r="D38" s="19"/>
      <c r="E38" s="20"/>
      <c r="F38" s="20"/>
      <c r="G38" s="21"/>
      <c r="H38" s="20"/>
      <c r="I38" s="4"/>
    </row>
    <row r="39" spans="1:9" x14ac:dyDescent="0.2">
      <c r="A39" s="2" t="s">
        <v>14</v>
      </c>
      <c r="B39" t="s">
        <v>52</v>
      </c>
      <c r="C39">
        <v>2</v>
      </c>
      <c r="D39">
        <v>3</v>
      </c>
      <c r="E39" s="1">
        <v>900</v>
      </c>
      <c r="F39" s="1">
        <f t="shared" ref="F39" si="20">C39*D39*E39</f>
        <v>5400</v>
      </c>
      <c r="G39" s="3">
        <v>0</v>
      </c>
      <c r="H39" s="1">
        <f t="shared" ref="H39" si="21">F39*(1-G39)</f>
        <v>5400</v>
      </c>
      <c r="I39" s="4"/>
    </row>
    <row r="40" spans="1:9" ht="17" thickBot="1" x14ac:dyDescent="0.25">
      <c r="A40" s="5" t="s">
        <v>16</v>
      </c>
      <c r="B40" s="6"/>
      <c r="C40" s="6"/>
      <c r="D40" s="6"/>
      <c r="E40" s="7"/>
      <c r="F40" s="7"/>
      <c r="G40" s="8"/>
      <c r="H40" s="7">
        <f>SUM(H5:H39)</f>
        <v>126000</v>
      </c>
      <c r="I40" s="9"/>
    </row>
    <row r="41" spans="1:9" ht="9" customHeight="1" thickBot="1" x14ac:dyDescent="0.25">
      <c r="G41" s="3"/>
    </row>
    <row r="42" spans="1:9" x14ac:dyDescent="0.2">
      <c r="A42" s="30" t="s">
        <v>15</v>
      </c>
      <c r="B42" s="31"/>
      <c r="C42" s="31"/>
      <c r="D42" s="31"/>
      <c r="E42" s="31"/>
      <c r="F42" s="31"/>
      <c r="G42" s="31"/>
      <c r="H42" s="31"/>
      <c r="I42" s="32"/>
    </row>
    <row r="43" spans="1:9" x14ac:dyDescent="0.2">
      <c r="A43" s="2" t="s">
        <v>124</v>
      </c>
      <c r="F43" s="1">
        <v>10000</v>
      </c>
      <c r="G43" s="3">
        <v>0</v>
      </c>
      <c r="H43" s="1">
        <f>F43*(1-G43)</f>
        <v>10000</v>
      </c>
      <c r="I43" s="4"/>
    </row>
    <row r="44" spans="1:9" x14ac:dyDescent="0.2">
      <c r="A44" s="2" t="s">
        <v>17</v>
      </c>
      <c r="C44">
        <v>6</v>
      </c>
      <c r="D44">
        <v>650</v>
      </c>
      <c r="E44" s="1">
        <v>1.5</v>
      </c>
      <c r="F44" s="1">
        <f>C44*D44*E44</f>
        <v>5850</v>
      </c>
      <c r="G44" s="3">
        <v>0</v>
      </c>
      <c r="H44" s="1">
        <f>F44*(1-G44)</f>
        <v>5850</v>
      </c>
      <c r="I44" s="4"/>
    </row>
    <row r="45" spans="1:9" x14ac:dyDescent="0.2">
      <c r="A45" s="2" t="s">
        <v>18</v>
      </c>
      <c r="C45">
        <v>51</v>
      </c>
      <c r="D45">
        <v>1</v>
      </c>
      <c r="E45" s="1">
        <v>250</v>
      </c>
      <c r="F45" s="1">
        <f>C45*D45*E45</f>
        <v>12750</v>
      </c>
      <c r="G45" s="3">
        <v>0</v>
      </c>
      <c r="H45" s="1">
        <f>F45*(1-G45)</f>
        <v>12750</v>
      </c>
      <c r="I45" s="4"/>
    </row>
    <row r="46" spans="1:9" ht="17" thickBot="1" x14ac:dyDescent="0.25">
      <c r="A46" s="5" t="s">
        <v>19</v>
      </c>
      <c r="B46" s="6"/>
      <c r="C46" s="6"/>
      <c r="D46" s="6"/>
      <c r="E46" s="7"/>
      <c r="F46" s="7"/>
      <c r="G46" s="6"/>
      <c r="H46" s="7">
        <f>SUM(H43:H45)</f>
        <v>28600</v>
      </c>
      <c r="I46" s="9"/>
    </row>
    <row r="47" spans="1:9" ht="9" customHeight="1" thickBot="1" x14ac:dyDescent="0.25"/>
    <row r="48" spans="1:9" x14ac:dyDescent="0.2">
      <c r="A48" s="30" t="s">
        <v>20</v>
      </c>
      <c r="B48" s="31"/>
      <c r="C48" s="31"/>
      <c r="D48" s="31"/>
      <c r="E48" s="31"/>
      <c r="F48" s="31"/>
      <c r="G48" s="31"/>
      <c r="H48" s="31"/>
      <c r="I48" s="32"/>
    </row>
    <row r="49" spans="1:9" x14ac:dyDescent="0.2">
      <c r="A49" s="22" t="s">
        <v>55</v>
      </c>
      <c r="B49" s="19"/>
      <c r="C49" s="19"/>
      <c r="D49" s="19"/>
      <c r="E49" s="20"/>
      <c r="F49" s="20"/>
      <c r="G49" s="21"/>
      <c r="H49" s="20"/>
      <c r="I49" s="4"/>
    </row>
    <row r="50" spans="1:9" x14ac:dyDescent="0.2">
      <c r="A50" s="2" t="s">
        <v>53</v>
      </c>
      <c r="B50" t="s">
        <v>54</v>
      </c>
      <c r="C50">
        <v>3</v>
      </c>
      <c r="D50">
        <v>3</v>
      </c>
      <c r="E50" s="1">
        <v>300</v>
      </c>
      <c r="F50" s="1">
        <f>C50*D50*E50</f>
        <v>2700</v>
      </c>
      <c r="G50" s="3">
        <v>0.42</v>
      </c>
      <c r="H50" s="1">
        <f>F50*(1-G50)</f>
        <v>1566.0000000000002</v>
      </c>
      <c r="I50" s="4"/>
    </row>
    <row r="51" spans="1:9" x14ac:dyDescent="0.2">
      <c r="A51" s="2" t="s">
        <v>22</v>
      </c>
      <c r="C51">
        <v>6</v>
      </c>
      <c r="D51">
        <v>3</v>
      </c>
      <c r="E51" s="1">
        <v>200</v>
      </c>
      <c r="F51" s="1">
        <f t="shared" ref="F51:F114" si="22">C51*D51*E51</f>
        <v>3600</v>
      </c>
      <c r="G51" s="3">
        <v>0.42</v>
      </c>
      <c r="H51" s="1">
        <f t="shared" ref="H51:H114" si="23">F51*(1-G51)</f>
        <v>2088.0000000000005</v>
      </c>
      <c r="I51" s="4"/>
    </row>
    <row r="52" spans="1:9" x14ac:dyDescent="0.2">
      <c r="A52" s="2" t="s">
        <v>23</v>
      </c>
      <c r="C52">
        <v>3</v>
      </c>
      <c r="D52">
        <v>3</v>
      </c>
      <c r="E52" s="1">
        <v>150</v>
      </c>
      <c r="F52" s="1">
        <f t="shared" si="22"/>
        <v>1350</v>
      </c>
      <c r="G52" s="3">
        <v>0.42</v>
      </c>
      <c r="H52" s="1">
        <f t="shared" si="23"/>
        <v>783.00000000000011</v>
      </c>
      <c r="I52" s="4"/>
    </row>
    <row r="53" spans="1:9" x14ac:dyDescent="0.2">
      <c r="A53" s="2" t="s">
        <v>56</v>
      </c>
      <c r="B53" t="s">
        <v>57</v>
      </c>
      <c r="C53">
        <v>3</v>
      </c>
      <c r="D53">
        <v>3</v>
      </c>
      <c r="E53" s="1">
        <v>50</v>
      </c>
      <c r="F53" s="1">
        <f t="shared" si="22"/>
        <v>450</v>
      </c>
      <c r="G53" s="3">
        <v>0.42</v>
      </c>
      <c r="H53" s="1">
        <f t="shared" si="23"/>
        <v>261.00000000000006</v>
      </c>
      <c r="I53" s="4"/>
    </row>
    <row r="54" spans="1:9" x14ac:dyDescent="0.2">
      <c r="A54" s="2" t="s">
        <v>63</v>
      </c>
      <c r="B54" t="s">
        <v>58</v>
      </c>
      <c r="C54">
        <v>3</v>
      </c>
      <c r="D54">
        <v>3</v>
      </c>
      <c r="E54" s="1">
        <v>300</v>
      </c>
      <c r="F54" s="1">
        <f t="shared" si="22"/>
        <v>2700</v>
      </c>
      <c r="G54" s="3">
        <v>0.42</v>
      </c>
      <c r="H54" s="1">
        <f t="shared" si="23"/>
        <v>1566.0000000000002</v>
      </c>
      <c r="I54" s="4"/>
    </row>
    <row r="55" spans="1:9" x14ac:dyDescent="0.2">
      <c r="A55" s="2" t="s">
        <v>59</v>
      </c>
      <c r="C55">
        <v>3</v>
      </c>
      <c r="D55">
        <v>3</v>
      </c>
      <c r="E55" s="1">
        <v>150</v>
      </c>
      <c r="F55" s="1">
        <f t="shared" si="22"/>
        <v>1350</v>
      </c>
      <c r="G55" s="3">
        <v>0.42</v>
      </c>
      <c r="H55" s="1">
        <f t="shared" si="23"/>
        <v>783.00000000000011</v>
      </c>
      <c r="I55" s="4"/>
    </row>
    <row r="56" spans="1:9" x14ac:dyDescent="0.2">
      <c r="A56" s="2" t="s">
        <v>67</v>
      </c>
      <c r="C56">
        <v>3</v>
      </c>
      <c r="D56">
        <v>3</v>
      </c>
      <c r="E56" s="1">
        <v>100</v>
      </c>
      <c r="F56" s="1">
        <f t="shared" si="22"/>
        <v>900</v>
      </c>
      <c r="G56" s="3">
        <v>0.42</v>
      </c>
      <c r="H56" s="1">
        <f t="shared" si="23"/>
        <v>522.00000000000011</v>
      </c>
      <c r="I56" s="4"/>
    </row>
    <row r="57" spans="1:9" x14ac:dyDescent="0.2">
      <c r="A57" s="2" t="s">
        <v>61</v>
      </c>
      <c r="B57" t="s">
        <v>66</v>
      </c>
      <c r="C57">
        <v>6</v>
      </c>
      <c r="D57">
        <v>3</v>
      </c>
      <c r="E57" s="1">
        <v>200</v>
      </c>
      <c r="F57" s="1">
        <f t="shared" si="22"/>
        <v>3600</v>
      </c>
      <c r="G57" s="3">
        <v>0.42</v>
      </c>
      <c r="H57" s="1">
        <f t="shared" si="23"/>
        <v>2088.0000000000005</v>
      </c>
      <c r="I57" s="4"/>
    </row>
    <row r="58" spans="1:9" x14ac:dyDescent="0.2">
      <c r="A58" s="2" t="s">
        <v>62</v>
      </c>
      <c r="C58">
        <v>6</v>
      </c>
      <c r="D58">
        <v>3</v>
      </c>
      <c r="E58" s="1">
        <v>150</v>
      </c>
      <c r="F58" s="1">
        <f t="shared" si="22"/>
        <v>2700</v>
      </c>
      <c r="G58" s="3">
        <v>0.42</v>
      </c>
      <c r="H58" s="1">
        <f t="shared" si="23"/>
        <v>1566.0000000000002</v>
      </c>
      <c r="I58" s="4"/>
    </row>
    <row r="59" spans="1:9" x14ac:dyDescent="0.2">
      <c r="A59" s="2" t="s">
        <v>64</v>
      </c>
      <c r="B59" t="s">
        <v>65</v>
      </c>
      <c r="C59">
        <v>24</v>
      </c>
      <c r="D59">
        <v>3</v>
      </c>
      <c r="E59" s="1">
        <v>40</v>
      </c>
      <c r="F59" s="1">
        <f t="shared" si="22"/>
        <v>2880</v>
      </c>
      <c r="G59" s="3">
        <v>0.42</v>
      </c>
      <c r="H59" s="1">
        <f t="shared" si="23"/>
        <v>1670.4</v>
      </c>
      <c r="I59" s="4"/>
    </row>
    <row r="60" spans="1:9" x14ac:dyDescent="0.2">
      <c r="A60" s="22" t="s">
        <v>43</v>
      </c>
      <c r="B60" s="19"/>
      <c r="C60" s="19"/>
      <c r="D60" s="19"/>
      <c r="E60" s="20"/>
      <c r="F60" s="20"/>
      <c r="G60" s="20"/>
      <c r="H60" s="20"/>
      <c r="I60" s="4"/>
    </row>
    <row r="61" spans="1:9" x14ac:dyDescent="0.2">
      <c r="A61" s="2" t="s">
        <v>53</v>
      </c>
      <c r="B61" t="s">
        <v>68</v>
      </c>
      <c r="C61">
        <v>1</v>
      </c>
      <c r="D61">
        <v>3</v>
      </c>
      <c r="E61" s="1">
        <v>500</v>
      </c>
      <c r="F61" s="1">
        <f t="shared" si="22"/>
        <v>1500</v>
      </c>
      <c r="G61" s="3">
        <v>0.42</v>
      </c>
      <c r="H61" s="1">
        <f t="shared" si="23"/>
        <v>870.00000000000011</v>
      </c>
      <c r="I61" s="4"/>
    </row>
    <row r="62" spans="1:9" x14ac:dyDescent="0.2">
      <c r="A62" s="2" t="s">
        <v>22</v>
      </c>
      <c r="C62">
        <v>2</v>
      </c>
      <c r="D62">
        <v>3</v>
      </c>
      <c r="E62" s="1">
        <v>200</v>
      </c>
      <c r="F62" s="1">
        <f t="shared" si="22"/>
        <v>1200</v>
      </c>
      <c r="G62" s="3">
        <v>0.42</v>
      </c>
      <c r="H62" s="1">
        <f t="shared" si="23"/>
        <v>696.00000000000011</v>
      </c>
      <c r="I62" s="4"/>
    </row>
    <row r="63" spans="1:9" x14ac:dyDescent="0.2">
      <c r="A63" s="2" t="s">
        <v>23</v>
      </c>
      <c r="C63">
        <v>1</v>
      </c>
      <c r="D63">
        <v>3</v>
      </c>
      <c r="E63" s="1">
        <v>150</v>
      </c>
      <c r="F63" s="1">
        <f t="shared" si="22"/>
        <v>450</v>
      </c>
      <c r="G63" s="3">
        <v>0.42</v>
      </c>
      <c r="H63" s="1">
        <f t="shared" si="23"/>
        <v>261.00000000000006</v>
      </c>
      <c r="I63" s="4"/>
    </row>
    <row r="64" spans="1:9" x14ac:dyDescent="0.2">
      <c r="A64" s="2" t="s">
        <v>56</v>
      </c>
      <c r="B64" t="s">
        <v>57</v>
      </c>
      <c r="C64">
        <v>1</v>
      </c>
      <c r="D64">
        <v>3</v>
      </c>
      <c r="E64" s="1">
        <v>50</v>
      </c>
      <c r="F64" s="1">
        <f t="shared" si="22"/>
        <v>150</v>
      </c>
      <c r="G64" s="3">
        <v>0.42</v>
      </c>
      <c r="H64" s="1">
        <f t="shared" si="23"/>
        <v>87.000000000000014</v>
      </c>
      <c r="I64" s="4"/>
    </row>
    <row r="65" spans="1:9" x14ac:dyDescent="0.2">
      <c r="A65" s="2" t="s">
        <v>63</v>
      </c>
      <c r="B65" t="s">
        <v>58</v>
      </c>
      <c r="C65">
        <v>2</v>
      </c>
      <c r="D65">
        <v>3</v>
      </c>
      <c r="E65" s="1">
        <v>300</v>
      </c>
      <c r="F65" s="1">
        <f t="shared" si="22"/>
        <v>1800</v>
      </c>
      <c r="G65" s="3">
        <v>0.42</v>
      </c>
      <c r="H65" s="1">
        <f t="shared" si="23"/>
        <v>1044.0000000000002</v>
      </c>
      <c r="I65" s="4"/>
    </row>
    <row r="66" spans="1:9" x14ac:dyDescent="0.2">
      <c r="A66" s="2" t="s">
        <v>59</v>
      </c>
      <c r="C66">
        <v>1</v>
      </c>
      <c r="D66">
        <v>3</v>
      </c>
      <c r="E66" s="1">
        <v>150</v>
      </c>
      <c r="F66" s="1">
        <f t="shared" si="22"/>
        <v>450</v>
      </c>
      <c r="G66" s="3">
        <v>0.42</v>
      </c>
      <c r="H66" s="1">
        <f t="shared" si="23"/>
        <v>261.00000000000006</v>
      </c>
      <c r="I66" s="4"/>
    </row>
    <row r="67" spans="1:9" x14ac:dyDescent="0.2">
      <c r="A67" s="2" t="s">
        <v>70</v>
      </c>
      <c r="C67">
        <v>1</v>
      </c>
      <c r="D67">
        <v>3</v>
      </c>
      <c r="E67" s="1">
        <v>900</v>
      </c>
      <c r="F67" s="1">
        <f t="shared" si="22"/>
        <v>2700</v>
      </c>
      <c r="G67" s="3">
        <v>0.42</v>
      </c>
      <c r="H67" s="1">
        <f t="shared" si="23"/>
        <v>1566.0000000000002</v>
      </c>
      <c r="I67" s="4"/>
    </row>
    <row r="68" spans="1:9" x14ac:dyDescent="0.2">
      <c r="A68" s="2" t="s">
        <v>21</v>
      </c>
      <c r="C68">
        <v>2</v>
      </c>
      <c r="D68">
        <v>3</v>
      </c>
      <c r="E68" s="1">
        <v>500</v>
      </c>
      <c r="F68" s="1">
        <f t="shared" si="22"/>
        <v>3000</v>
      </c>
      <c r="G68" s="3">
        <v>0.42</v>
      </c>
      <c r="H68" s="1">
        <f t="shared" si="23"/>
        <v>1740.0000000000002</v>
      </c>
      <c r="I68" s="4"/>
    </row>
    <row r="69" spans="1:9" x14ac:dyDescent="0.2">
      <c r="A69" s="2" t="s">
        <v>60</v>
      </c>
      <c r="B69" t="s">
        <v>69</v>
      </c>
      <c r="C69">
        <v>1</v>
      </c>
      <c r="D69">
        <v>3</v>
      </c>
      <c r="E69" s="1">
        <v>500</v>
      </c>
      <c r="F69" s="1">
        <f t="shared" si="22"/>
        <v>1500</v>
      </c>
      <c r="G69" s="3">
        <v>0.42</v>
      </c>
      <c r="H69" s="1">
        <f t="shared" si="23"/>
        <v>870.00000000000011</v>
      </c>
      <c r="I69" s="4"/>
    </row>
    <row r="70" spans="1:9" x14ac:dyDescent="0.2">
      <c r="A70" s="2" t="s">
        <v>61</v>
      </c>
      <c r="C70">
        <v>4</v>
      </c>
      <c r="D70">
        <v>3</v>
      </c>
      <c r="E70" s="1">
        <v>200</v>
      </c>
      <c r="F70" s="1">
        <f t="shared" si="22"/>
        <v>2400</v>
      </c>
      <c r="G70" s="3">
        <v>0.42</v>
      </c>
      <c r="H70" s="1">
        <f t="shared" si="23"/>
        <v>1392.0000000000002</v>
      </c>
      <c r="I70" s="4"/>
    </row>
    <row r="71" spans="1:9" x14ac:dyDescent="0.2">
      <c r="A71" s="2" t="s">
        <v>62</v>
      </c>
      <c r="C71">
        <v>4</v>
      </c>
      <c r="D71">
        <v>3</v>
      </c>
      <c r="E71" s="1">
        <v>200</v>
      </c>
      <c r="F71" s="1">
        <f t="shared" si="22"/>
        <v>2400</v>
      </c>
      <c r="G71" s="3">
        <v>0.42</v>
      </c>
      <c r="H71" s="1">
        <f t="shared" si="23"/>
        <v>1392.0000000000002</v>
      </c>
      <c r="I71" s="4"/>
    </row>
    <row r="72" spans="1:9" x14ac:dyDescent="0.2">
      <c r="A72" s="2" t="s">
        <v>64</v>
      </c>
      <c r="C72">
        <v>12</v>
      </c>
      <c r="D72">
        <v>3</v>
      </c>
      <c r="E72" s="1">
        <v>40</v>
      </c>
      <c r="F72" s="1">
        <f t="shared" si="22"/>
        <v>1440</v>
      </c>
      <c r="G72" s="3">
        <v>0.42</v>
      </c>
      <c r="H72" s="1">
        <f t="shared" si="23"/>
        <v>835.2</v>
      </c>
      <c r="I72" s="4"/>
    </row>
    <row r="73" spans="1:9" x14ac:dyDescent="0.2">
      <c r="A73" s="2" t="s">
        <v>98</v>
      </c>
      <c r="B73" t="s">
        <v>99</v>
      </c>
      <c r="C73">
        <v>1</v>
      </c>
      <c r="D73">
        <v>3</v>
      </c>
      <c r="E73" s="1">
        <v>200</v>
      </c>
      <c r="F73" s="1">
        <f t="shared" si="22"/>
        <v>600</v>
      </c>
      <c r="G73" s="3">
        <v>0.42</v>
      </c>
      <c r="H73" s="1">
        <f t="shared" si="23"/>
        <v>348.00000000000006</v>
      </c>
      <c r="I73" s="4"/>
    </row>
    <row r="74" spans="1:9" x14ac:dyDescent="0.2">
      <c r="A74" s="22" t="s">
        <v>44</v>
      </c>
      <c r="B74" s="19"/>
      <c r="C74" s="19"/>
      <c r="D74" s="19"/>
      <c r="E74" s="20"/>
      <c r="F74" s="20"/>
      <c r="G74" s="21"/>
      <c r="H74" s="20"/>
      <c r="I74" s="4"/>
    </row>
    <row r="75" spans="1:9" x14ac:dyDescent="0.2">
      <c r="A75" s="2" t="s">
        <v>74</v>
      </c>
      <c r="B75" s="23" t="s">
        <v>71</v>
      </c>
      <c r="C75">
        <v>1</v>
      </c>
      <c r="D75">
        <v>3</v>
      </c>
      <c r="E75" s="1">
        <v>400</v>
      </c>
      <c r="F75" s="1">
        <f t="shared" si="22"/>
        <v>1200</v>
      </c>
      <c r="G75" s="3">
        <v>0.42</v>
      </c>
      <c r="H75" s="1">
        <f t="shared" si="23"/>
        <v>696.00000000000011</v>
      </c>
      <c r="I75" s="4"/>
    </row>
    <row r="76" spans="1:9" x14ac:dyDescent="0.2">
      <c r="A76" s="2" t="s">
        <v>72</v>
      </c>
      <c r="B76" t="s">
        <v>73</v>
      </c>
      <c r="C76">
        <v>1</v>
      </c>
      <c r="D76">
        <v>3</v>
      </c>
      <c r="E76" s="1">
        <v>1200</v>
      </c>
      <c r="F76" s="1">
        <f t="shared" si="22"/>
        <v>3600</v>
      </c>
      <c r="G76" s="3">
        <v>0.42</v>
      </c>
      <c r="H76" s="1">
        <f t="shared" si="23"/>
        <v>2088.0000000000005</v>
      </c>
      <c r="I76" s="4"/>
    </row>
    <row r="77" spans="1:9" x14ac:dyDescent="0.2">
      <c r="A77" s="2" t="s">
        <v>53</v>
      </c>
      <c r="B77" t="s">
        <v>68</v>
      </c>
      <c r="C77">
        <v>1</v>
      </c>
      <c r="D77">
        <v>3</v>
      </c>
      <c r="E77" s="1">
        <v>500</v>
      </c>
      <c r="F77" s="1">
        <f t="shared" si="22"/>
        <v>1500</v>
      </c>
      <c r="G77" s="3">
        <v>0.42</v>
      </c>
      <c r="H77" s="1">
        <f t="shared" si="23"/>
        <v>870.00000000000011</v>
      </c>
      <c r="I77" s="4"/>
    </row>
    <row r="78" spans="1:9" x14ac:dyDescent="0.2">
      <c r="A78" s="2" t="s">
        <v>22</v>
      </c>
      <c r="C78">
        <v>2</v>
      </c>
      <c r="D78">
        <v>3</v>
      </c>
      <c r="E78" s="1">
        <v>200</v>
      </c>
      <c r="F78" s="1">
        <f t="shared" si="22"/>
        <v>1200</v>
      </c>
      <c r="G78" s="3">
        <v>0.42</v>
      </c>
      <c r="H78" s="1">
        <f t="shared" si="23"/>
        <v>696.00000000000011</v>
      </c>
      <c r="I78" s="4"/>
    </row>
    <row r="79" spans="1:9" x14ac:dyDescent="0.2">
      <c r="A79" s="2" t="s">
        <v>23</v>
      </c>
      <c r="C79">
        <v>1</v>
      </c>
      <c r="D79">
        <v>3</v>
      </c>
      <c r="E79" s="1">
        <v>150</v>
      </c>
      <c r="F79" s="1">
        <f t="shared" si="22"/>
        <v>450</v>
      </c>
      <c r="G79" s="3">
        <v>0.42</v>
      </c>
      <c r="H79" s="1">
        <f t="shared" si="23"/>
        <v>261.00000000000006</v>
      </c>
      <c r="I79" s="4"/>
    </row>
    <row r="80" spans="1:9" x14ac:dyDescent="0.2">
      <c r="A80" s="2" t="s">
        <v>56</v>
      </c>
      <c r="B80" t="s">
        <v>57</v>
      </c>
      <c r="C80">
        <v>1</v>
      </c>
      <c r="D80">
        <v>3</v>
      </c>
      <c r="E80" s="1">
        <v>50</v>
      </c>
      <c r="F80" s="1">
        <f t="shared" si="22"/>
        <v>150</v>
      </c>
      <c r="G80" s="3">
        <v>0.42</v>
      </c>
      <c r="H80" s="1">
        <f t="shared" si="23"/>
        <v>87.000000000000014</v>
      </c>
      <c r="I80" s="4"/>
    </row>
    <row r="81" spans="1:9" x14ac:dyDescent="0.2">
      <c r="A81" s="2" t="s">
        <v>63</v>
      </c>
      <c r="B81" t="s">
        <v>58</v>
      </c>
      <c r="C81">
        <v>2</v>
      </c>
      <c r="D81">
        <v>3</v>
      </c>
      <c r="E81" s="1">
        <v>300</v>
      </c>
      <c r="F81" s="1">
        <f t="shared" si="22"/>
        <v>1800</v>
      </c>
      <c r="G81" s="3">
        <v>0.42</v>
      </c>
      <c r="H81" s="1">
        <f t="shared" si="23"/>
        <v>1044.0000000000002</v>
      </c>
      <c r="I81" s="4"/>
    </row>
    <row r="82" spans="1:9" x14ac:dyDescent="0.2">
      <c r="A82" s="2" t="s">
        <v>59</v>
      </c>
      <c r="C82">
        <v>1</v>
      </c>
      <c r="D82">
        <v>3</v>
      </c>
      <c r="E82" s="1">
        <v>150</v>
      </c>
      <c r="F82" s="1">
        <f t="shared" si="22"/>
        <v>450</v>
      </c>
      <c r="G82" s="3">
        <v>0.42</v>
      </c>
      <c r="H82" s="1">
        <f t="shared" si="23"/>
        <v>261.00000000000006</v>
      </c>
      <c r="I82" s="4"/>
    </row>
    <row r="83" spans="1:9" x14ac:dyDescent="0.2">
      <c r="A83" s="2" t="s">
        <v>70</v>
      </c>
      <c r="C83">
        <v>1</v>
      </c>
      <c r="D83">
        <v>3</v>
      </c>
      <c r="E83" s="1">
        <v>900</v>
      </c>
      <c r="F83" s="1">
        <f t="shared" si="22"/>
        <v>2700</v>
      </c>
      <c r="G83" s="3">
        <v>0.42</v>
      </c>
      <c r="H83" s="1">
        <f t="shared" si="23"/>
        <v>1566.0000000000002</v>
      </c>
      <c r="I83" s="4"/>
    </row>
    <row r="84" spans="1:9" x14ac:dyDescent="0.2">
      <c r="A84" s="2" t="s">
        <v>21</v>
      </c>
      <c r="C84">
        <v>2</v>
      </c>
      <c r="D84">
        <v>3</v>
      </c>
      <c r="E84" s="1">
        <v>500</v>
      </c>
      <c r="F84" s="1">
        <f t="shared" si="22"/>
        <v>3000</v>
      </c>
      <c r="G84" s="3">
        <v>0.42</v>
      </c>
      <c r="H84" s="1">
        <f t="shared" si="23"/>
        <v>1740.0000000000002</v>
      </c>
      <c r="I84" s="4"/>
    </row>
    <row r="85" spans="1:9" x14ac:dyDescent="0.2">
      <c r="A85" s="2" t="s">
        <v>60</v>
      </c>
      <c r="B85" t="s">
        <v>69</v>
      </c>
      <c r="C85">
        <v>1</v>
      </c>
      <c r="D85">
        <v>3</v>
      </c>
      <c r="E85" s="1">
        <v>500</v>
      </c>
      <c r="F85" s="1">
        <f t="shared" si="22"/>
        <v>1500</v>
      </c>
      <c r="G85" s="3">
        <v>0.42</v>
      </c>
      <c r="H85" s="1">
        <f t="shared" si="23"/>
        <v>870.00000000000011</v>
      </c>
      <c r="I85" s="4"/>
    </row>
    <row r="86" spans="1:9" x14ac:dyDescent="0.2">
      <c r="A86" s="2" t="s">
        <v>61</v>
      </c>
      <c r="C86">
        <v>4</v>
      </c>
      <c r="D86">
        <v>3</v>
      </c>
      <c r="E86" s="1">
        <v>200</v>
      </c>
      <c r="F86" s="1">
        <f t="shared" si="22"/>
        <v>2400</v>
      </c>
      <c r="G86" s="3">
        <v>0.42</v>
      </c>
      <c r="H86" s="1">
        <f t="shared" si="23"/>
        <v>1392.0000000000002</v>
      </c>
      <c r="I86" s="4"/>
    </row>
    <row r="87" spans="1:9" x14ac:dyDescent="0.2">
      <c r="A87" s="2" t="s">
        <v>62</v>
      </c>
      <c r="C87">
        <v>4</v>
      </c>
      <c r="D87">
        <v>3</v>
      </c>
      <c r="E87" s="1">
        <v>200</v>
      </c>
      <c r="F87" s="1">
        <f t="shared" si="22"/>
        <v>2400</v>
      </c>
      <c r="G87" s="3">
        <v>0.42</v>
      </c>
      <c r="H87" s="1">
        <f t="shared" si="23"/>
        <v>1392.0000000000002</v>
      </c>
      <c r="I87" s="4"/>
    </row>
    <row r="88" spans="1:9" x14ac:dyDescent="0.2">
      <c r="A88" s="2" t="s">
        <v>64</v>
      </c>
      <c r="C88">
        <v>12</v>
      </c>
      <c r="D88">
        <v>3</v>
      </c>
      <c r="E88" s="1">
        <v>40</v>
      </c>
      <c r="F88" s="1">
        <f t="shared" si="22"/>
        <v>1440</v>
      </c>
      <c r="G88" s="3">
        <v>0.42</v>
      </c>
      <c r="H88" s="1">
        <f t="shared" si="23"/>
        <v>835.2</v>
      </c>
      <c r="I88" s="4"/>
    </row>
    <row r="89" spans="1:9" x14ac:dyDescent="0.2">
      <c r="A89" s="2" t="s">
        <v>98</v>
      </c>
      <c r="B89" t="s">
        <v>99</v>
      </c>
      <c r="C89">
        <v>1</v>
      </c>
      <c r="D89">
        <v>3</v>
      </c>
      <c r="E89" s="1">
        <v>200</v>
      </c>
      <c r="F89" s="1">
        <f t="shared" si="22"/>
        <v>600</v>
      </c>
      <c r="G89" s="3">
        <v>0.42</v>
      </c>
      <c r="H89" s="1">
        <f t="shared" si="23"/>
        <v>348.00000000000006</v>
      </c>
      <c r="I89" s="4"/>
    </row>
    <row r="90" spans="1:9" x14ac:dyDescent="0.2">
      <c r="A90" s="22" t="s">
        <v>45</v>
      </c>
      <c r="B90" s="19"/>
      <c r="C90" s="19"/>
      <c r="D90" s="19"/>
      <c r="E90" s="20"/>
      <c r="F90" s="20"/>
      <c r="G90" s="21"/>
      <c r="H90" s="20"/>
      <c r="I90" s="4"/>
    </row>
    <row r="91" spans="1:9" x14ac:dyDescent="0.2">
      <c r="A91" s="2" t="s">
        <v>122</v>
      </c>
      <c r="B91" s="23" t="s">
        <v>71</v>
      </c>
      <c r="C91">
        <v>1</v>
      </c>
      <c r="D91">
        <v>3</v>
      </c>
      <c r="E91" s="1">
        <v>600</v>
      </c>
      <c r="F91" s="1">
        <f t="shared" si="22"/>
        <v>1800</v>
      </c>
      <c r="G91" s="3">
        <v>0.42</v>
      </c>
      <c r="H91" s="1">
        <f t="shared" si="23"/>
        <v>1044.0000000000002</v>
      </c>
      <c r="I91" s="4"/>
    </row>
    <row r="92" spans="1:9" x14ac:dyDescent="0.2">
      <c r="A92" s="2" t="s">
        <v>123</v>
      </c>
      <c r="B92" t="s">
        <v>73</v>
      </c>
      <c r="C92">
        <v>1</v>
      </c>
      <c r="D92">
        <v>3</v>
      </c>
      <c r="E92" s="1">
        <v>1200</v>
      </c>
      <c r="F92" s="1">
        <f t="shared" si="22"/>
        <v>3600</v>
      </c>
      <c r="G92" s="3">
        <v>0.42</v>
      </c>
      <c r="H92" s="1">
        <f t="shared" si="23"/>
        <v>2088.0000000000005</v>
      </c>
      <c r="I92" s="4"/>
    </row>
    <row r="93" spans="1:9" x14ac:dyDescent="0.2">
      <c r="A93" s="2" t="s">
        <v>53</v>
      </c>
      <c r="B93" t="s">
        <v>68</v>
      </c>
      <c r="C93">
        <v>1</v>
      </c>
      <c r="D93">
        <v>3</v>
      </c>
      <c r="E93" s="1">
        <v>500</v>
      </c>
      <c r="F93" s="1">
        <f t="shared" si="22"/>
        <v>1500</v>
      </c>
      <c r="G93" s="3">
        <v>0.42</v>
      </c>
      <c r="H93" s="1">
        <f t="shared" si="23"/>
        <v>870.00000000000011</v>
      </c>
      <c r="I93" s="4"/>
    </row>
    <row r="94" spans="1:9" x14ac:dyDescent="0.2">
      <c r="A94" s="2" t="s">
        <v>22</v>
      </c>
      <c r="C94">
        <v>2</v>
      </c>
      <c r="D94">
        <v>3</v>
      </c>
      <c r="E94" s="1">
        <v>200</v>
      </c>
      <c r="F94" s="1">
        <f t="shared" si="22"/>
        <v>1200</v>
      </c>
      <c r="G94" s="3">
        <v>0.42</v>
      </c>
      <c r="H94" s="1">
        <f t="shared" si="23"/>
        <v>696.00000000000011</v>
      </c>
      <c r="I94" s="4"/>
    </row>
    <row r="95" spans="1:9" x14ac:dyDescent="0.2">
      <c r="A95" s="2" t="s">
        <v>23</v>
      </c>
      <c r="C95">
        <v>1</v>
      </c>
      <c r="D95">
        <v>3</v>
      </c>
      <c r="E95" s="1">
        <v>150</v>
      </c>
      <c r="F95" s="1">
        <f t="shared" si="22"/>
        <v>450</v>
      </c>
      <c r="G95" s="3">
        <v>0.42</v>
      </c>
      <c r="H95" s="1">
        <f t="shared" si="23"/>
        <v>261.00000000000006</v>
      </c>
      <c r="I95" s="4"/>
    </row>
    <row r="96" spans="1:9" x14ac:dyDescent="0.2">
      <c r="A96" s="2" t="s">
        <v>56</v>
      </c>
      <c r="B96" t="s">
        <v>57</v>
      </c>
      <c r="C96">
        <v>1</v>
      </c>
      <c r="D96">
        <v>3</v>
      </c>
      <c r="E96" s="1">
        <v>50</v>
      </c>
      <c r="F96" s="1">
        <f t="shared" si="22"/>
        <v>150</v>
      </c>
      <c r="G96" s="3">
        <v>0.42</v>
      </c>
      <c r="H96" s="1">
        <f t="shared" si="23"/>
        <v>87.000000000000014</v>
      </c>
      <c r="I96" s="4"/>
    </row>
    <row r="97" spans="1:9" x14ac:dyDescent="0.2">
      <c r="A97" s="2" t="s">
        <v>63</v>
      </c>
      <c r="B97" t="s">
        <v>58</v>
      </c>
      <c r="C97">
        <v>2</v>
      </c>
      <c r="D97">
        <v>3</v>
      </c>
      <c r="E97" s="1">
        <v>300</v>
      </c>
      <c r="F97" s="1">
        <f t="shared" si="22"/>
        <v>1800</v>
      </c>
      <c r="G97" s="3">
        <v>0.42</v>
      </c>
      <c r="H97" s="1">
        <f t="shared" si="23"/>
        <v>1044.0000000000002</v>
      </c>
      <c r="I97" s="4"/>
    </row>
    <row r="98" spans="1:9" x14ac:dyDescent="0.2">
      <c r="A98" s="2" t="s">
        <v>59</v>
      </c>
      <c r="C98">
        <v>1</v>
      </c>
      <c r="D98">
        <v>3</v>
      </c>
      <c r="E98" s="1">
        <v>150</v>
      </c>
      <c r="F98" s="1">
        <f t="shared" si="22"/>
        <v>450</v>
      </c>
      <c r="G98" s="3">
        <v>0.42</v>
      </c>
      <c r="H98" s="1">
        <f t="shared" si="23"/>
        <v>261.00000000000006</v>
      </c>
      <c r="I98" s="4"/>
    </row>
    <row r="99" spans="1:9" x14ac:dyDescent="0.2">
      <c r="A99" s="2" t="s">
        <v>70</v>
      </c>
      <c r="C99">
        <v>1</v>
      </c>
      <c r="D99">
        <v>3</v>
      </c>
      <c r="E99" s="1">
        <v>900</v>
      </c>
      <c r="F99" s="1">
        <f t="shared" si="22"/>
        <v>2700</v>
      </c>
      <c r="G99" s="3">
        <v>0.42</v>
      </c>
      <c r="H99" s="1">
        <f t="shared" si="23"/>
        <v>1566.0000000000002</v>
      </c>
      <c r="I99" s="4"/>
    </row>
    <row r="100" spans="1:9" x14ac:dyDescent="0.2">
      <c r="A100" s="2" t="s">
        <v>21</v>
      </c>
      <c r="C100">
        <v>2</v>
      </c>
      <c r="D100">
        <v>3</v>
      </c>
      <c r="E100" s="1">
        <v>500</v>
      </c>
      <c r="F100" s="1">
        <f t="shared" si="22"/>
        <v>3000</v>
      </c>
      <c r="G100" s="3">
        <v>0.42</v>
      </c>
      <c r="H100" s="1">
        <f t="shared" si="23"/>
        <v>1740.0000000000002</v>
      </c>
      <c r="I100" s="4"/>
    </row>
    <row r="101" spans="1:9" x14ac:dyDescent="0.2">
      <c r="A101" s="2" t="s">
        <v>60</v>
      </c>
      <c r="B101" t="s">
        <v>69</v>
      </c>
      <c r="C101">
        <v>1</v>
      </c>
      <c r="D101">
        <v>3</v>
      </c>
      <c r="E101" s="1">
        <v>500</v>
      </c>
      <c r="F101" s="1">
        <f t="shared" si="22"/>
        <v>1500</v>
      </c>
      <c r="G101" s="3">
        <v>0.42</v>
      </c>
      <c r="H101" s="1">
        <f t="shared" si="23"/>
        <v>870.00000000000011</v>
      </c>
      <c r="I101" s="4"/>
    </row>
    <row r="102" spans="1:9" x14ac:dyDescent="0.2">
      <c r="A102" s="2" t="s">
        <v>61</v>
      </c>
      <c r="C102">
        <v>4</v>
      </c>
      <c r="D102">
        <v>3</v>
      </c>
      <c r="E102" s="1">
        <v>200</v>
      </c>
      <c r="F102" s="1">
        <f t="shared" si="22"/>
        <v>2400</v>
      </c>
      <c r="G102" s="3">
        <v>0.42</v>
      </c>
      <c r="H102" s="1">
        <f t="shared" si="23"/>
        <v>1392.0000000000002</v>
      </c>
      <c r="I102" s="4"/>
    </row>
    <row r="103" spans="1:9" x14ac:dyDescent="0.2">
      <c r="A103" s="2" t="s">
        <v>62</v>
      </c>
      <c r="C103">
        <v>4</v>
      </c>
      <c r="D103">
        <v>3</v>
      </c>
      <c r="E103" s="1">
        <v>200</v>
      </c>
      <c r="F103" s="1">
        <f t="shared" si="22"/>
        <v>2400</v>
      </c>
      <c r="G103" s="3">
        <v>0.42</v>
      </c>
      <c r="H103" s="1">
        <f t="shared" si="23"/>
        <v>1392.0000000000002</v>
      </c>
      <c r="I103" s="4"/>
    </row>
    <row r="104" spans="1:9" x14ac:dyDescent="0.2">
      <c r="A104" s="2" t="s">
        <v>62</v>
      </c>
      <c r="B104" t="s">
        <v>75</v>
      </c>
      <c r="C104">
        <v>2</v>
      </c>
      <c r="D104">
        <v>3</v>
      </c>
      <c r="E104" s="1">
        <v>100</v>
      </c>
      <c r="F104" s="1">
        <f t="shared" si="22"/>
        <v>600</v>
      </c>
      <c r="G104" s="3">
        <v>0.42</v>
      </c>
      <c r="H104" s="1">
        <f t="shared" si="23"/>
        <v>348.00000000000006</v>
      </c>
      <c r="I104" s="4"/>
    </row>
    <row r="105" spans="1:9" x14ac:dyDescent="0.2">
      <c r="A105" s="2" t="s">
        <v>76</v>
      </c>
      <c r="C105">
        <v>8</v>
      </c>
      <c r="D105">
        <v>3</v>
      </c>
      <c r="E105" s="1">
        <v>120</v>
      </c>
      <c r="F105" s="1">
        <f t="shared" si="22"/>
        <v>2880</v>
      </c>
      <c r="G105" s="3">
        <v>0.42</v>
      </c>
      <c r="H105" s="1">
        <f t="shared" si="23"/>
        <v>1670.4</v>
      </c>
      <c r="I105" s="4"/>
    </row>
    <row r="106" spans="1:9" x14ac:dyDescent="0.2">
      <c r="A106" s="2" t="s">
        <v>107</v>
      </c>
      <c r="B106" t="s">
        <v>77</v>
      </c>
      <c r="C106">
        <v>8</v>
      </c>
      <c r="D106">
        <v>3</v>
      </c>
      <c r="E106" s="1">
        <v>80</v>
      </c>
      <c r="F106" s="1">
        <f t="shared" si="22"/>
        <v>1920</v>
      </c>
      <c r="G106" s="3">
        <v>0.42</v>
      </c>
      <c r="H106" s="1">
        <f t="shared" si="23"/>
        <v>1113.6000000000001</v>
      </c>
      <c r="I106" s="4"/>
    </row>
    <row r="107" spans="1:9" x14ac:dyDescent="0.2">
      <c r="A107" s="2" t="s">
        <v>78</v>
      </c>
      <c r="B107" t="s">
        <v>79</v>
      </c>
      <c r="C107">
        <v>9</v>
      </c>
      <c r="D107">
        <v>3</v>
      </c>
      <c r="E107" s="1">
        <v>150</v>
      </c>
      <c r="F107" s="1">
        <f t="shared" si="22"/>
        <v>4050</v>
      </c>
      <c r="G107" s="3">
        <v>0.42</v>
      </c>
      <c r="H107" s="1">
        <f t="shared" si="23"/>
        <v>2349.0000000000005</v>
      </c>
      <c r="I107" s="4"/>
    </row>
    <row r="108" spans="1:9" x14ac:dyDescent="0.2">
      <c r="A108" s="2" t="s">
        <v>80</v>
      </c>
      <c r="B108" t="s">
        <v>81</v>
      </c>
      <c r="C108">
        <v>10</v>
      </c>
      <c r="D108">
        <v>3</v>
      </c>
      <c r="E108" s="1">
        <v>40</v>
      </c>
      <c r="F108" s="1">
        <f t="shared" si="22"/>
        <v>1200</v>
      </c>
      <c r="G108" s="3">
        <v>0.42</v>
      </c>
      <c r="H108" s="1">
        <f t="shared" si="23"/>
        <v>696.00000000000011</v>
      </c>
      <c r="I108" s="4"/>
    </row>
    <row r="109" spans="1:9" x14ac:dyDescent="0.2">
      <c r="A109" s="2" t="s">
        <v>98</v>
      </c>
      <c r="B109" t="s">
        <v>99</v>
      </c>
      <c r="C109">
        <v>1</v>
      </c>
      <c r="D109">
        <v>3</v>
      </c>
      <c r="E109" s="1">
        <v>200</v>
      </c>
      <c r="F109" s="1">
        <f t="shared" si="22"/>
        <v>600</v>
      </c>
      <c r="G109" s="3">
        <v>0.42</v>
      </c>
      <c r="H109" s="1">
        <f t="shared" si="23"/>
        <v>348.00000000000006</v>
      </c>
      <c r="I109" s="4"/>
    </row>
    <row r="110" spans="1:9" x14ac:dyDescent="0.2">
      <c r="A110" s="22" t="s">
        <v>82</v>
      </c>
      <c r="B110" s="19"/>
      <c r="C110" s="19"/>
      <c r="D110" s="19"/>
      <c r="E110" s="20"/>
      <c r="F110" s="20"/>
      <c r="G110" s="21"/>
      <c r="H110" s="20"/>
      <c r="I110" s="4"/>
    </row>
    <row r="111" spans="1:9" x14ac:dyDescent="0.2">
      <c r="A111" s="2" t="s">
        <v>120</v>
      </c>
      <c r="B111" s="23" t="s">
        <v>86</v>
      </c>
      <c r="C111">
        <v>2</v>
      </c>
      <c r="D111">
        <v>3</v>
      </c>
      <c r="E111" s="1">
        <v>800</v>
      </c>
      <c r="F111" s="1">
        <f t="shared" si="22"/>
        <v>4800</v>
      </c>
      <c r="G111" s="3">
        <v>0.42</v>
      </c>
      <c r="H111" s="1">
        <f t="shared" si="23"/>
        <v>2784.0000000000005</v>
      </c>
      <c r="I111" s="4"/>
    </row>
    <row r="112" spans="1:9" x14ac:dyDescent="0.2">
      <c r="A112" s="2" t="s">
        <v>121</v>
      </c>
      <c r="B112" t="s">
        <v>87</v>
      </c>
      <c r="C112">
        <v>2</v>
      </c>
      <c r="D112">
        <v>3</v>
      </c>
      <c r="E112" s="1">
        <v>1800</v>
      </c>
      <c r="F112" s="1">
        <f t="shared" si="22"/>
        <v>10800</v>
      </c>
      <c r="G112" s="3">
        <v>0.42</v>
      </c>
      <c r="H112" s="1">
        <f t="shared" si="23"/>
        <v>6264.0000000000009</v>
      </c>
      <c r="I112" s="4"/>
    </row>
    <row r="113" spans="1:9" x14ac:dyDescent="0.2">
      <c r="A113" s="2" t="s">
        <v>53</v>
      </c>
      <c r="B113" t="s">
        <v>68</v>
      </c>
      <c r="C113">
        <v>1</v>
      </c>
      <c r="D113">
        <v>3</v>
      </c>
      <c r="E113" s="1">
        <v>500</v>
      </c>
      <c r="F113" s="1">
        <f t="shared" si="22"/>
        <v>1500</v>
      </c>
      <c r="G113" s="3">
        <v>0.42</v>
      </c>
      <c r="H113" s="1">
        <f t="shared" si="23"/>
        <v>870.00000000000011</v>
      </c>
      <c r="I113" s="4"/>
    </row>
    <row r="114" spans="1:9" x14ac:dyDescent="0.2">
      <c r="A114" s="2" t="s">
        <v>22</v>
      </c>
      <c r="C114">
        <v>2</v>
      </c>
      <c r="D114">
        <v>3</v>
      </c>
      <c r="E114" s="1">
        <v>200</v>
      </c>
      <c r="F114" s="1">
        <f t="shared" si="22"/>
        <v>1200</v>
      </c>
      <c r="G114" s="3">
        <v>0.42</v>
      </c>
      <c r="H114" s="1">
        <f t="shared" si="23"/>
        <v>696.00000000000011</v>
      </c>
      <c r="I114" s="4"/>
    </row>
    <row r="115" spans="1:9" x14ac:dyDescent="0.2">
      <c r="A115" s="2" t="s">
        <v>23</v>
      </c>
      <c r="C115">
        <v>1</v>
      </c>
      <c r="D115">
        <v>3</v>
      </c>
      <c r="E115" s="1">
        <v>150</v>
      </c>
      <c r="F115" s="1">
        <f t="shared" ref="F115:F178" si="24">C115*D115*E115</f>
        <v>450</v>
      </c>
      <c r="G115" s="3">
        <v>0.42</v>
      </c>
      <c r="H115" s="1">
        <f t="shared" ref="H115:H178" si="25">F115*(1-G115)</f>
        <v>261.00000000000006</v>
      </c>
      <c r="I115" s="4"/>
    </row>
    <row r="116" spans="1:9" x14ac:dyDescent="0.2">
      <c r="A116" s="2" t="s">
        <v>56</v>
      </c>
      <c r="B116" t="s">
        <v>57</v>
      </c>
      <c r="C116">
        <v>1</v>
      </c>
      <c r="D116">
        <v>3</v>
      </c>
      <c r="E116" s="1">
        <v>50</v>
      </c>
      <c r="F116" s="1">
        <f t="shared" si="24"/>
        <v>150</v>
      </c>
      <c r="G116" s="3">
        <v>0.42</v>
      </c>
      <c r="H116" s="1">
        <f t="shared" si="25"/>
        <v>87.000000000000014</v>
      </c>
      <c r="I116" s="4"/>
    </row>
    <row r="117" spans="1:9" x14ac:dyDescent="0.2">
      <c r="A117" s="2" t="s">
        <v>63</v>
      </c>
      <c r="B117" t="s">
        <v>83</v>
      </c>
      <c r="C117">
        <v>2</v>
      </c>
      <c r="D117">
        <v>3</v>
      </c>
      <c r="E117" s="1">
        <v>400</v>
      </c>
      <c r="F117" s="1">
        <f t="shared" si="24"/>
        <v>2400</v>
      </c>
      <c r="G117" s="3">
        <v>0.42</v>
      </c>
      <c r="H117" s="1">
        <f t="shared" si="25"/>
        <v>1392.0000000000002</v>
      </c>
      <c r="I117" s="4"/>
    </row>
    <row r="118" spans="1:9" x14ac:dyDescent="0.2">
      <c r="A118" s="2" t="s">
        <v>59</v>
      </c>
      <c r="C118">
        <v>1</v>
      </c>
      <c r="D118">
        <v>3</v>
      </c>
      <c r="E118" s="1">
        <v>150</v>
      </c>
      <c r="F118" s="1">
        <f t="shared" si="24"/>
        <v>450</v>
      </c>
      <c r="G118" s="3">
        <v>0.42</v>
      </c>
      <c r="H118" s="1">
        <f t="shared" si="25"/>
        <v>261.00000000000006</v>
      </c>
      <c r="I118" s="4"/>
    </row>
    <row r="119" spans="1:9" x14ac:dyDescent="0.2">
      <c r="A119" s="2" t="s">
        <v>70</v>
      </c>
      <c r="C119">
        <v>1</v>
      </c>
      <c r="D119">
        <v>3</v>
      </c>
      <c r="E119" s="1">
        <v>900</v>
      </c>
      <c r="F119" s="1">
        <f t="shared" si="24"/>
        <v>2700</v>
      </c>
      <c r="G119" s="3">
        <v>0.42</v>
      </c>
      <c r="H119" s="1">
        <f t="shared" si="25"/>
        <v>1566.0000000000002</v>
      </c>
      <c r="I119" s="4"/>
    </row>
    <row r="120" spans="1:9" x14ac:dyDescent="0.2">
      <c r="A120" s="2" t="s">
        <v>21</v>
      </c>
      <c r="B120" t="s">
        <v>84</v>
      </c>
      <c r="C120">
        <v>2</v>
      </c>
      <c r="D120">
        <v>3</v>
      </c>
      <c r="E120" s="1">
        <v>800</v>
      </c>
      <c r="F120" s="1">
        <f t="shared" si="24"/>
        <v>4800</v>
      </c>
      <c r="G120" s="3">
        <v>0.42</v>
      </c>
      <c r="H120" s="1">
        <f t="shared" si="25"/>
        <v>2784.0000000000005</v>
      </c>
      <c r="I120" s="4"/>
    </row>
    <row r="121" spans="1:9" x14ac:dyDescent="0.2">
      <c r="A121" s="2" t="s">
        <v>60</v>
      </c>
      <c r="B121" t="s">
        <v>69</v>
      </c>
      <c r="C121">
        <v>1</v>
      </c>
      <c r="D121">
        <v>3</v>
      </c>
      <c r="E121" s="1">
        <v>500</v>
      </c>
      <c r="F121" s="1">
        <f t="shared" si="24"/>
        <v>1500</v>
      </c>
      <c r="G121" s="3">
        <v>0.42</v>
      </c>
      <c r="H121" s="1">
        <f t="shared" si="25"/>
        <v>870.00000000000011</v>
      </c>
      <c r="I121" s="4"/>
    </row>
    <row r="122" spans="1:9" x14ac:dyDescent="0.2">
      <c r="A122" s="2" t="s">
        <v>61</v>
      </c>
      <c r="C122">
        <v>4</v>
      </c>
      <c r="D122">
        <v>3</v>
      </c>
      <c r="E122" s="1">
        <v>200</v>
      </c>
      <c r="F122" s="1">
        <f t="shared" si="24"/>
        <v>2400</v>
      </c>
      <c r="G122" s="3">
        <v>0.42</v>
      </c>
      <c r="H122" s="1">
        <f t="shared" si="25"/>
        <v>1392.0000000000002</v>
      </c>
      <c r="I122" s="4"/>
    </row>
    <row r="123" spans="1:9" x14ac:dyDescent="0.2">
      <c r="A123" s="2" t="s">
        <v>85</v>
      </c>
      <c r="C123">
        <v>1</v>
      </c>
      <c r="D123">
        <v>3</v>
      </c>
      <c r="E123" s="1">
        <v>4000</v>
      </c>
      <c r="F123" s="1">
        <f t="shared" si="24"/>
        <v>12000</v>
      </c>
      <c r="G123" s="3">
        <v>0.42</v>
      </c>
      <c r="H123" s="1">
        <f t="shared" si="25"/>
        <v>6960.0000000000009</v>
      </c>
      <c r="I123" s="4"/>
    </row>
    <row r="124" spans="1:9" x14ac:dyDescent="0.2">
      <c r="A124" s="2" t="s">
        <v>62</v>
      </c>
      <c r="B124" t="s">
        <v>75</v>
      </c>
      <c r="C124">
        <v>2</v>
      </c>
      <c r="D124">
        <v>3</v>
      </c>
      <c r="E124" s="1">
        <v>100</v>
      </c>
      <c r="F124" s="1">
        <f t="shared" si="24"/>
        <v>600</v>
      </c>
      <c r="G124" s="3">
        <v>0.42</v>
      </c>
      <c r="H124" s="1">
        <f t="shared" si="25"/>
        <v>348.00000000000006</v>
      </c>
      <c r="I124" s="4"/>
    </row>
    <row r="125" spans="1:9" x14ac:dyDescent="0.2">
      <c r="A125" s="2" t="s">
        <v>107</v>
      </c>
      <c r="B125" t="s">
        <v>88</v>
      </c>
      <c r="C125">
        <v>8</v>
      </c>
      <c r="D125">
        <v>3</v>
      </c>
      <c r="E125" s="1">
        <v>250</v>
      </c>
      <c r="F125" s="1">
        <f t="shared" si="24"/>
        <v>6000</v>
      </c>
      <c r="G125" s="3">
        <v>0.42</v>
      </c>
      <c r="H125" s="1">
        <f t="shared" si="25"/>
        <v>3480.0000000000005</v>
      </c>
      <c r="I125" s="4"/>
    </row>
    <row r="126" spans="1:9" x14ac:dyDescent="0.2">
      <c r="A126" s="2" t="s">
        <v>89</v>
      </c>
      <c r="B126" t="s">
        <v>90</v>
      </c>
      <c r="C126">
        <v>6</v>
      </c>
      <c r="D126">
        <v>3</v>
      </c>
      <c r="E126" s="1">
        <v>250</v>
      </c>
      <c r="F126" s="1">
        <f t="shared" si="24"/>
        <v>4500</v>
      </c>
      <c r="G126" s="3">
        <v>0.42</v>
      </c>
      <c r="H126" s="1">
        <f t="shared" si="25"/>
        <v>2610.0000000000005</v>
      </c>
      <c r="I126" s="4"/>
    </row>
    <row r="127" spans="1:9" x14ac:dyDescent="0.2">
      <c r="A127" s="2" t="s">
        <v>91</v>
      </c>
      <c r="B127" t="s">
        <v>92</v>
      </c>
      <c r="C127">
        <v>12</v>
      </c>
      <c r="D127">
        <v>3</v>
      </c>
      <c r="E127" s="1">
        <v>230</v>
      </c>
      <c r="F127" s="1">
        <f t="shared" si="24"/>
        <v>8280</v>
      </c>
      <c r="G127" s="3">
        <v>0.42</v>
      </c>
      <c r="H127" s="1">
        <f t="shared" si="25"/>
        <v>4802.4000000000005</v>
      </c>
      <c r="I127" s="4"/>
    </row>
    <row r="128" spans="1:9" x14ac:dyDescent="0.2">
      <c r="A128" s="2" t="s">
        <v>76</v>
      </c>
      <c r="C128">
        <v>8</v>
      </c>
      <c r="D128">
        <v>3</v>
      </c>
      <c r="E128" s="1">
        <v>120</v>
      </c>
      <c r="F128" s="1">
        <f t="shared" si="24"/>
        <v>2880</v>
      </c>
      <c r="G128" s="3">
        <v>0.42</v>
      </c>
      <c r="H128" s="1">
        <f t="shared" si="25"/>
        <v>1670.4</v>
      </c>
      <c r="I128" s="4"/>
    </row>
    <row r="129" spans="1:9" x14ac:dyDescent="0.2">
      <c r="A129" s="2" t="s">
        <v>93</v>
      </c>
      <c r="B129" t="s">
        <v>94</v>
      </c>
      <c r="C129">
        <v>1</v>
      </c>
      <c r="D129">
        <v>3</v>
      </c>
      <c r="E129" s="1">
        <v>700</v>
      </c>
      <c r="F129" s="1">
        <f t="shared" si="24"/>
        <v>2100</v>
      </c>
      <c r="G129" s="3">
        <v>0.42</v>
      </c>
      <c r="H129" s="1">
        <f t="shared" si="25"/>
        <v>1218.0000000000002</v>
      </c>
      <c r="I129" s="4"/>
    </row>
    <row r="130" spans="1:9" x14ac:dyDescent="0.2">
      <c r="A130" s="2" t="s">
        <v>78</v>
      </c>
      <c r="B130" t="s">
        <v>95</v>
      </c>
      <c r="C130">
        <v>16</v>
      </c>
      <c r="D130">
        <v>3</v>
      </c>
      <c r="E130" s="1">
        <v>150</v>
      </c>
      <c r="F130" s="1">
        <f t="shared" si="24"/>
        <v>7200</v>
      </c>
      <c r="G130" s="3">
        <v>0.42</v>
      </c>
      <c r="H130" s="1">
        <f t="shared" si="25"/>
        <v>4176.0000000000009</v>
      </c>
      <c r="I130" s="4"/>
    </row>
    <row r="131" spans="1:9" x14ac:dyDescent="0.2">
      <c r="A131" s="2" t="s">
        <v>96</v>
      </c>
      <c r="B131" t="s">
        <v>97</v>
      </c>
      <c r="C131">
        <v>39</v>
      </c>
      <c r="D131">
        <v>3</v>
      </c>
      <c r="E131" s="1">
        <v>40</v>
      </c>
      <c r="F131" s="1">
        <f t="shared" si="24"/>
        <v>4680</v>
      </c>
      <c r="G131" s="3">
        <v>0.42</v>
      </c>
      <c r="H131" s="1">
        <f t="shared" si="25"/>
        <v>2714.4000000000005</v>
      </c>
      <c r="I131" s="4"/>
    </row>
    <row r="132" spans="1:9" x14ac:dyDescent="0.2">
      <c r="A132" s="2" t="s">
        <v>98</v>
      </c>
      <c r="B132" t="s">
        <v>99</v>
      </c>
      <c r="C132">
        <v>1</v>
      </c>
      <c r="D132">
        <v>3</v>
      </c>
      <c r="E132" s="1">
        <v>200</v>
      </c>
      <c r="F132" s="1">
        <f t="shared" si="24"/>
        <v>600</v>
      </c>
      <c r="G132" s="3">
        <v>0.42</v>
      </c>
      <c r="H132" s="1">
        <f t="shared" si="25"/>
        <v>348.00000000000006</v>
      </c>
      <c r="I132" s="4"/>
    </row>
    <row r="133" spans="1:9" x14ac:dyDescent="0.2">
      <c r="A133" s="22" t="s">
        <v>48</v>
      </c>
      <c r="B133" s="19"/>
      <c r="C133" s="19"/>
      <c r="D133" s="19"/>
      <c r="E133" s="20"/>
      <c r="F133" s="20"/>
      <c r="G133" s="21"/>
      <c r="H133" s="20"/>
      <c r="I133" s="4"/>
    </row>
    <row r="134" spans="1:9" x14ac:dyDescent="0.2">
      <c r="A134" s="2" t="s">
        <v>119</v>
      </c>
      <c r="B134" s="23" t="s">
        <v>100</v>
      </c>
      <c r="C134">
        <v>1</v>
      </c>
      <c r="D134">
        <v>3</v>
      </c>
      <c r="E134" s="1">
        <v>1000</v>
      </c>
      <c r="F134" s="1">
        <f t="shared" si="24"/>
        <v>3000</v>
      </c>
      <c r="G134" s="3">
        <v>0.42</v>
      </c>
      <c r="H134" s="1">
        <f t="shared" si="25"/>
        <v>1740.0000000000002</v>
      </c>
      <c r="I134" s="4"/>
    </row>
    <row r="135" spans="1:9" x14ac:dyDescent="0.2">
      <c r="A135" s="2" t="s">
        <v>116</v>
      </c>
      <c r="B135" t="s">
        <v>73</v>
      </c>
      <c r="C135">
        <v>1</v>
      </c>
      <c r="D135">
        <v>3</v>
      </c>
      <c r="E135" s="1">
        <v>3000</v>
      </c>
      <c r="F135" s="1">
        <f t="shared" si="24"/>
        <v>9000</v>
      </c>
      <c r="G135" s="3">
        <v>0.42</v>
      </c>
      <c r="H135" s="1">
        <f t="shared" si="25"/>
        <v>5220.0000000000009</v>
      </c>
      <c r="I135" s="4"/>
    </row>
    <row r="136" spans="1:9" x14ac:dyDescent="0.2">
      <c r="A136" s="2" t="s">
        <v>53</v>
      </c>
      <c r="B136" t="s">
        <v>68</v>
      </c>
      <c r="C136">
        <v>1</v>
      </c>
      <c r="D136">
        <v>3</v>
      </c>
      <c r="E136" s="1">
        <v>500</v>
      </c>
      <c r="F136" s="1">
        <f t="shared" si="24"/>
        <v>1500</v>
      </c>
      <c r="G136" s="3">
        <v>0.42</v>
      </c>
      <c r="H136" s="1">
        <f t="shared" si="25"/>
        <v>870.00000000000011</v>
      </c>
      <c r="I136" s="4"/>
    </row>
    <row r="137" spans="1:9" x14ac:dyDescent="0.2">
      <c r="A137" s="2" t="s">
        <v>22</v>
      </c>
      <c r="C137">
        <v>2</v>
      </c>
      <c r="D137">
        <v>3</v>
      </c>
      <c r="E137" s="1">
        <v>200</v>
      </c>
      <c r="F137" s="1">
        <f t="shared" si="24"/>
        <v>1200</v>
      </c>
      <c r="G137" s="3">
        <v>0.42</v>
      </c>
      <c r="H137" s="1">
        <f t="shared" si="25"/>
        <v>696.00000000000011</v>
      </c>
      <c r="I137" s="4"/>
    </row>
    <row r="138" spans="1:9" x14ac:dyDescent="0.2">
      <c r="A138" s="2" t="s">
        <v>23</v>
      </c>
      <c r="C138">
        <v>1</v>
      </c>
      <c r="D138">
        <v>3</v>
      </c>
      <c r="E138" s="1">
        <v>150</v>
      </c>
      <c r="F138" s="1">
        <f t="shared" si="24"/>
        <v>450</v>
      </c>
      <c r="G138" s="3">
        <v>0.42</v>
      </c>
      <c r="H138" s="1">
        <f t="shared" si="25"/>
        <v>261.00000000000006</v>
      </c>
      <c r="I138" s="4"/>
    </row>
    <row r="139" spans="1:9" x14ac:dyDescent="0.2">
      <c r="A139" s="2" t="s">
        <v>56</v>
      </c>
      <c r="B139" t="s">
        <v>57</v>
      </c>
      <c r="C139">
        <v>1</v>
      </c>
      <c r="D139">
        <v>3</v>
      </c>
      <c r="E139" s="1">
        <v>50</v>
      </c>
      <c r="F139" s="1">
        <f t="shared" si="24"/>
        <v>150</v>
      </c>
      <c r="G139" s="3">
        <v>0.42</v>
      </c>
      <c r="H139" s="1">
        <f t="shared" si="25"/>
        <v>87.000000000000014</v>
      </c>
      <c r="I139" s="4"/>
    </row>
    <row r="140" spans="1:9" x14ac:dyDescent="0.2">
      <c r="A140" s="2" t="s">
        <v>63</v>
      </c>
      <c r="B140" t="s">
        <v>58</v>
      </c>
      <c r="C140">
        <v>2</v>
      </c>
      <c r="D140">
        <v>3</v>
      </c>
      <c r="E140" s="1">
        <v>300</v>
      </c>
      <c r="F140" s="1">
        <f t="shared" si="24"/>
        <v>1800</v>
      </c>
      <c r="G140" s="3">
        <v>0.42</v>
      </c>
      <c r="H140" s="1">
        <f t="shared" si="25"/>
        <v>1044.0000000000002</v>
      </c>
      <c r="I140" s="4"/>
    </row>
    <row r="141" spans="1:9" x14ac:dyDescent="0.2">
      <c r="A141" s="2" t="s">
        <v>59</v>
      </c>
      <c r="C141">
        <v>1</v>
      </c>
      <c r="D141">
        <v>3</v>
      </c>
      <c r="E141" s="1">
        <v>150</v>
      </c>
      <c r="F141" s="1">
        <f t="shared" si="24"/>
        <v>450</v>
      </c>
      <c r="G141" s="3">
        <v>0.42</v>
      </c>
      <c r="H141" s="1">
        <f t="shared" si="25"/>
        <v>261.00000000000006</v>
      </c>
      <c r="I141" s="4"/>
    </row>
    <row r="142" spans="1:9" x14ac:dyDescent="0.2">
      <c r="A142" s="2" t="s">
        <v>70</v>
      </c>
      <c r="C142">
        <v>1</v>
      </c>
      <c r="D142">
        <v>3</v>
      </c>
      <c r="E142" s="1">
        <v>900</v>
      </c>
      <c r="F142" s="1">
        <f t="shared" si="24"/>
        <v>2700</v>
      </c>
      <c r="G142" s="3">
        <v>0.42</v>
      </c>
      <c r="H142" s="1">
        <f t="shared" si="25"/>
        <v>1566.0000000000002</v>
      </c>
      <c r="I142" s="4"/>
    </row>
    <row r="143" spans="1:9" x14ac:dyDescent="0.2">
      <c r="A143" s="2" t="s">
        <v>21</v>
      </c>
      <c r="C143">
        <v>2</v>
      </c>
      <c r="D143">
        <v>3</v>
      </c>
      <c r="E143" s="1">
        <v>500</v>
      </c>
      <c r="F143" s="1">
        <f t="shared" si="24"/>
        <v>3000</v>
      </c>
      <c r="G143" s="3">
        <v>0.42</v>
      </c>
      <c r="H143" s="1">
        <f t="shared" si="25"/>
        <v>1740.0000000000002</v>
      </c>
      <c r="I143" s="4"/>
    </row>
    <row r="144" spans="1:9" x14ac:dyDescent="0.2">
      <c r="A144" s="2" t="s">
        <v>60</v>
      </c>
      <c r="B144" t="s">
        <v>69</v>
      </c>
      <c r="C144">
        <v>1</v>
      </c>
      <c r="D144">
        <v>3</v>
      </c>
      <c r="E144" s="1">
        <v>500</v>
      </c>
      <c r="F144" s="1">
        <f t="shared" si="24"/>
        <v>1500</v>
      </c>
      <c r="G144" s="3">
        <v>0.42</v>
      </c>
      <c r="H144" s="1">
        <f t="shared" si="25"/>
        <v>870.00000000000011</v>
      </c>
      <c r="I144" s="4"/>
    </row>
    <row r="145" spans="1:9" x14ac:dyDescent="0.2">
      <c r="A145" s="2" t="s">
        <v>61</v>
      </c>
      <c r="C145">
        <v>4</v>
      </c>
      <c r="D145">
        <v>3</v>
      </c>
      <c r="E145" s="1">
        <v>200</v>
      </c>
      <c r="F145" s="1">
        <f t="shared" si="24"/>
        <v>2400</v>
      </c>
      <c r="G145" s="3">
        <v>0.42</v>
      </c>
      <c r="H145" s="1">
        <f t="shared" si="25"/>
        <v>1392.0000000000002</v>
      </c>
      <c r="I145" s="4"/>
    </row>
    <row r="146" spans="1:9" x14ac:dyDescent="0.2">
      <c r="A146" s="2" t="s">
        <v>62</v>
      </c>
      <c r="C146">
        <v>6</v>
      </c>
      <c r="D146">
        <v>3</v>
      </c>
      <c r="E146" s="1">
        <v>200</v>
      </c>
      <c r="F146" s="1">
        <f t="shared" si="24"/>
        <v>3600</v>
      </c>
      <c r="G146" s="3">
        <v>0.42</v>
      </c>
      <c r="H146" s="1">
        <f t="shared" si="25"/>
        <v>2088.0000000000005</v>
      </c>
      <c r="I146" s="4"/>
    </row>
    <row r="147" spans="1:9" x14ac:dyDescent="0.2">
      <c r="A147" s="2" t="s">
        <v>62</v>
      </c>
      <c r="B147" t="s">
        <v>75</v>
      </c>
      <c r="C147">
        <v>2</v>
      </c>
      <c r="D147">
        <v>3</v>
      </c>
      <c r="E147" s="1">
        <v>100</v>
      </c>
      <c r="F147" s="1">
        <f t="shared" si="24"/>
        <v>600</v>
      </c>
      <c r="G147" s="3">
        <v>0.42</v>
      </c>
      <c r="H147" s="1">
        <f t="shared" si="25"/>
        <v>348.00000000000006</v>
      </c>
      <c r="I147" s="4"/>
    </row>
    <row r="148" spans="1:9" x14ac:dyDescent="0.2">
      <c r="A148" s="2" t="s">
        <v>107</v>
      </c>
      <c r="B148" t="s">
        <v>77</v>
      </c>
      <c r="C148">
        <v>6</v>
      </c>
      <c r="D148">
        <v>3</v>
      </c>
      <c r="E148" s="1">
        <v>80</v>
      </c>
      <c r="F148" s="1">
        <f t="shared" si="24"/>
        <v>1440</v>
      </c>
      <c r="G148" s="3">
        <v>0.42</v>
      </c>
      <c r="H148" s="1">
        <f t="shared" si="25"/>
        <v>835.2</v>
      </c>
      <c r="I148" s="4"/>
    </row>
    <row r="149" spans="1:9" x14ac:dyDescent="0.2">
      <c r="A149" s="2" t="s">
        <v>76</v>
      </c>
      <c r="C149">
        <v>4</v>
      </c>
      <c r="D149">
        <v>3</v>
      </c>
      <c r="E149" s="1">
        <v>120</v>
      </c>
      <c r="F149" s="1">
        <f t="shared" si="24"/>
        <v>1440</v>
      </c>
      <c r="G149" s="3">
        <v>0.42</v>
      </c>
      <c r="H149" s="1">
        <f t="shared" si="25"/>
        <v>835.2</v>
      </c>
      <c r="I149" s="4"/>
    </row>
    <row r="150" spans="1:9" x14ac:dyDescent="0.2">
      <c r="A150" s="2" t="s">
        <v>64</v>
      </c>
      <c r="C150">
        <v>16</v>
      </c>
      <c r="D150">
        <v>3</v>
      </c>
      <c r="E150" s="1">
        <v>40</v>
      </c>
      <c r="F150" s="1">
        <f t="shared" si="24"/>
        <v>1920</v>
      </c>
      <c r="G150" s="3">
        <v>0.42</v>
      </c>
      <c r="H150" s="1">
        <f t="shared" si="25"/>
        <v>1113.6000000000001</v>
      </c>
      <c r="I150" s="4"/>
    </row>
    <row r="151" spans="1:9" x14ac:dyDescent="0.2">
      <c r="A151" s="2" t="s">
        <v>78</v>
      </c>
      <c r="B151" t="s">
        <v>102</v>
      </c>
      <c r="C151">
        <v>9</v>
      </c>
      <c r="D151">
        <v>3</v>
      </c>
      <c r="E151" s="1">
        <v>150</v>
      </c>
      <c r="F151" s="1">
        <f t="shared" si="24"/>
        <v>4050</v>
      </c>
      <c r="G151" s="3">
        <v>0.42</v>
      </c>
      <c r="H151" s="1">
        <f t="shared" si="25"/>
        <v>2349.0000000000005</v>
      </c>
      <c r="I151" s="4"/>
    </row>
    <row r="152" spans="1:9" x14ac:dyDescent="0.2">
      <c r="A152" s="2" t="s">
        <v>80</v>
      </c>
      <c r="B152" t="s">
        <v>101</v>
      </c>
      <c r="C152">
        <v>12</v>
      </c>
      <c r="D152">
        <v>3</v>
      </c>
      <c r="E152" s="1">
        <v>40</v>
      </c>
      <c r="F152" s="1">
        <f t="shared" si="24"/>
        <v>1440</v>
      </c>
      <c r="G152" s="3">
        <v>0.42</v>
      </c>
      <c r="H152" s="1">
        <f t="shared" si="25"/>
        <v>835.2</v>
      </c>
      <c r="I152" s="4"/>
    </row>
    <row r="153" spans="1:9" x14ac:dyDescent="0.2">
      <c r="A153" s="2" t="s">
        <v>98</v>
      </c>
      <c r="B153" t="s">
        <v>99</v>
      </c>
      <c r="C153">
        <v>1</v>
      </c>
      <c r="D153">
        <v>3</v>
      </c>
      <c r="E153" s="1">
        <v>200</v>
      </c>
      <c r="F153" s="1">
        <f t="shared" si="24"/>
        <v>600</v>
      </c>
      <c r="G153" s="3">
        <v>0.42</v>
      </c>
      <c r="H153" s="1">
        <f t="shared" si="25"/>
        <v>348.00000000000006</v>
      </c>
      <c r="I153" s="4"/>
    </row>
    <row r="154" spans="1:9" x14ac:dyDescent="0.2">
      <c r="A154" s="22" t="s">
        <v>49</v>
      </c>
      <c r="B154" s="19"/>
      <c r="C154" s="19"/>
      <c r="D154" s="19"/>
      <c r="E154" s="20"/>
      <c r="F154" s="20"/>
      <c r="G154" s="21"/>
      <c r="H154" s="20"/>
      <c r="I154" s="4"/>
    </row>
    <row r="155" spans="1:9" x14ac:dyDescent="0.2">
      <c r="A155" s="2" t="s">
        <v>118</v>
      </c>
      <c r="B155" s="23" t="s">
        <v>100</v>
      </c>
      <c r="C155">
        <v>1</v>
      </c>
      <c r="D155">
        <v>3</v>
      </c>
      <c r="E155" s="1">
        <v>2000</v>
      </c>
      <c r="F155" s="1">
        <f t="shared" si="24"/>
        <v>6000</v>
      </c>
      <c r="G155" s="3">
        <v>0.42</v>
      </c>
      <c r="H155" s="1">
        <f t="shared" si="25"/>
        <v>3480.0000000000005</v>
      </c>
      <c r="I155" s="4"/>
    </row>
    <row r="156" spans="1:9" x14ac:dyDescent="0.2">
      <c r="A156" s="2" t="s">
        <v>117</v>
      </c>
      <c r="B156" t="s">
        <v>73</v>
      </c>
      <c r="C156">
        <v>1</v>
      </c>
      <c r="D156">
        <v>3</v>
      </c>
      <c r="E156" s="1">
        <v>4500</v>
      </c>
      <c r="F156" s="1">
        <f t="shared" si="24"/>
        <v>13500</v>
      </c>
      <c r="G156" s="3">
        <v>0.42</v>
      </c>
      <c r="H156" s="1">
        <f t="shared" si="25"/>
        <v>7830.0000000000009</v>
      </c>
      <c r="I156" s="4"/>
    </row>
    <row r="157" spans="1:9" x14ac:dyDescent="0.2">
      <c r="A157" s="2" t="s">
        <v>53</v>
      </c>
      <c r="B157" t="s">
        <v>68</v>
      </c>
      <c r="C157">
        <v>1</v>
      </c>
      <c r="D157">
        <v>3</v>
      </c>
      <c r="E157" s="1">
        <v>500</v>
      </c>
      <c r="F157" s="1">
        <f t="shared" si="24"/>
        <v>1500</v>
      </c>
      <c r="G157" s="3">
        <v>0.42</v>
      </c>
      <c r="H157" s="1">
        <f t="shared" si="25"/>
        <v>870.00000000000011</v>
      </c>
      <c r="I157" s="4"/>
    </row>
    <row r="158" spans="1:9" x14ac:dyDescent="0.2">
      <c r="A158" s="2" t="s">
        <v>22</v>
      </c>
      <c r="C158">
        <v>2</v>
      </c>
      <c r="D158">
        <v>3</v>
      </c>
      <c r="E158" s="1">
        <v>200</v>
      </c>
      <c r="F158" s="1">
        <f t="shared" si="24"/>
        <v>1200</v>
      </c>
      <c r="G158" s="3">
        <v>0.42</v>
      </c>
      <c r="H158" s="1">
        <f t="shared" si="25"/>
        <v>696.00000000000011</v>
      </c>
      <c r="I158" s="4"/>
    </row>
    <row r="159" spans="1:9" x14ac:dyDescent="0.2">
      <c r="A159" s="2" t="s">
        <v>23</v>
      </c>
      <c r="C159">
        <v>1</v>
      </c>
      <c r="D159">
        <v>3</v>
      </c>
      <c r="E159" s="1">
        <v>150</v>
      </c>
      <c r="F159" s="1">
        <f t="shared" si="24"/>
        <v>450</v>
      </c>
      <c r="G159" s="3">
        <v>0.42</v>
      </c>
      <c r="H159" s="1">
        <f t="shared" si="25"/>
        <v>261.00000000000006</v>
      </c>
      <c r="I159" s="4"/>
    </row>
    <row r="160" spans="1:9" x14ac:dyDescent="0.2">
      <c r="A160" s="2" t="s">
        <v>56</v>
      </c>
      <c r="B160" t="s">
        <v>57</v>
      </c>
      <c r="C160">
        <v>1</v>
      </c>
      <c r="D160">
        <v>3</v>
      </c>
      <c r="E160" s="1">
        <v>50</v>
      </c>
      <c r="F160" s="1">
        <f t="shared" si="24"/>
        <v>150</v>
      </c>
      <c r="G160" s="3">
        <v>0.42</v>
      </c>
      <c r="H160" s="1">
        <f t="shared" si="25"/>
        <v>87.000000000000014</v>
      </c>
      <c r="I160" s="4"/>
    </row>
    <row r="161" spans="1:9" x14ac:dyDescent="0.2">
      <c r="A161" s="2" t="s">
        <v>63</v>
      </c>
      <c r="B161" t="s">
        <v>58</v>
      </c>
      <c r="C161">
        <v>2</v>
      </c>
      <c r="D161">
        <v>3</v>
      </c>
      <c r="E161" s="1">
        <v>300</v>
      </c>
      <c r="F161" s="1">
        <f t="shared" si="24"/>
        <v>1800</v>
      </c>
      <c r="G161" s="3">
        <v>0.42</v>
      </c>
      <c r="H161" s="1">
        <f t="shared" si="25"/>
        <v>1044.0000000000002</v>
      </c>
      <c r="I161" s="4"/>
    </row>
    <row r="162" spans="1:9" x14ac:dyDescent="0.2">
      <c r="A162" s="2" t="s">
        <v>59</v>
      </c>
      <c r="C162">
        <v>1</v>
      </c>
      <c r="D162">
        <v>3</v>
      </c>
      <c r="E162" s="1">
        <v>150</v>
      </c>
      <c r="F162" s="1">
        <f t="shared" si="24"/>
        <v>450</v>
      </c>
      <c r="G162" s="3">
        <v>0.42</v>
      </c>
      <c r="H162" s="1">
        <f t="shared" si="25"/>
        <v>261.00000000000006</v>
      </c>
      <c r="I162" s="4"/>
    </row>
    <row r="163" spans="1:9" x14ac:dyDescent="0.2">
      <c r="A163" s="2" t="s">
        <v>70</v>
      </c>
      <c r="C163">
        <v>1</v>
      </c>
      <c r="D163">
        <v>3</v>
      </c>
      <c r="E163" s="1">
        <v>900</v>
      </c>
      <c r="F163" s="1">
        <f t="shared" si="24"/>
        <v>2700</v>
      </c>
      <c r="G163" s="3">
        <v>0.42</v>
      </c>
      <c r="H163" s="1">
        <f t="shared" si="25"/>
        <v>1566.0000000000002</v>
      </c>
      <c r="I163" s="4"/>
    </row>
    <row r="164" spans="1:9" x14ac:dyDescent="0.2">
      <c r="A164" s="2" t="s">
        <v>21</v>
      </c>
      <c r="C164">
        <v>2</v>
      </c>
      <c r="D164">
        <v>3</v>
      </c>
      <c r="E164" s="1">
        <v>500</v>
      </c>
      <c r="F164" s="1">
        <f t="shared" si="24"/>
        <v>3000</v>
      </c>
      <c r="G164" s="3">
        <v>0.42</v>
      </c>
      <c r="H164" s="1">
        <f t="shared" si="25"/>
        <v>1740.0000000000002</v>
      </c>
      <c r="I164" s="4"/>
    </row>
    <row r="165" spans="1:9" x14ac:dyDescent="0.2">
      <c r="A165" s="2" t="s">
        <v>60</v>
      </c>
      <c r="B165" t="s">
        <v>69</v>
      </c>
      <c r="C165">
        <v>1</v>
      </c>
      <c r="D165">
        <v>3</v>
      </c>
      <c r="E165" s="1">
        <v>500</v>
      </c>
      <c r="F165" s="1">
        <f t="shared" si="24"/>
        <v>1500</v>
      </c>
      <c r="G165" s="3">
        <v>0.42</v>
      </c>
      <c r="H165" s="1">
        <f t="shared" si="25"/>
        <v>870.00000000000011</v>
      </c>
      <c r="I165" s="4"/>
    </row>
    <row r="166" spans="1:9" x14ac:dyDescent="0.2">
      <c r="A166" s="2" t="s">
        <v>61</v>
      </c>
      <c r="C166">
        <v>4</v>
      </c>
      <c r="D166">
        <v>3</v>
      </c>
      <c r="E166" s="1">
        <v>200</v>
      </c>
      <c r="F166" s="1">
        <f t="shared" si="24"/>
        <v>2400</v>
      </c>
      <c r="G166" s="3">
        <v>0.42</v>
      </c>
      <c r="H166" s="1">
        <f t="shared" si="25"/>
        <v>1392.0000000000002</v>
      </c>
      <c r="I166" s="4"/>
    </row>
    <row r="167" spans="1:9" x14ac:dyDescent="0.2">
      <c r="A167" s="2" t="s">
        <v>103</v>
      </c>
      <c r="B167" t="s">
        <v>106</v>
      </c>
      <c r="C167">
        <v>1</v>
      </c>
      <c r="D167">
        <v>3</v>
      </c>
      <c r="E167" s="1">
        <v>3200</v>
      </c>
      <c r="F167" s="1">
        <f t="shared" si="24"/>
        <v>9600</v>
      </c>
      <c r="G167" s="3">
        <v>0.42</v>
      </c>
      <c r="H167" s="1">
        <f t="shared" si="25"/>
        <v>5568.0000000000009</v>
      </c>
      <c r="I167" s="4"/>
    </row>
    <row r="168" spans="1:9" x14ac:dyDescent="0.2">
      <c r="A168" s="2" t="s">
        <v>104</v>
      </c>
      <c r="B168" t="s">
        <v>105</v>
      </c>
      <c r="C168">
        <v>2</v>
      </c>
      <c r="D168">
        <v>3</v>
      </c>
      <c r="E168" s="1">
        <v>200</v>
      </c>
      <c r="F168" s="1">
        <f t="shared" si="24"/>
        <v>1200</v>
      </c>
      <c r="G168" s="3">
        <v>0.42</v>
      </c>
      <c r="H168" s="1">
        <f t="shared" si="25"/>
        <v>696.00000000000011</v>
      </c>
      <c r="I168" s="4"/>
    </row>
    <row r="169" spans="1:9" x14ac:dyDescent="0.2">
      <c r="A169" s="2" t="s">
        <v>62</v>
      </c>
      <c r="B169" t="s">
        <v>75</v>
      </c>
      <c r="C169">
        <v>2</v>
      </c>
      <c r="D169">
        <v>3</v>
      </c>
      <c r="E169" s="1">
        <v>100</v>
      </c>
      <c r="F169" s="1">
        <f t="shared" si="24"/>
        <v>600</v>
      </c>
      <c r="G169" s="3">
        <v>0.42</v>
      </c>
      <c r="H169" s="1">
        <f t="shared" si="25"/>
        <v>348.00000000000006</v>
      </c>
      <c r="I169" s="4"/>
    </row>
    <row r="170" spans="1:9" x14ac:dyDescent="0.2">
      <c r="A170" s="2" t="s">
        <v>107</v>
      </c>
      <c r="B170" t="s">
        <v>77</v>
      </c>
      <c r="C170">
        <v>6</v>
      </c>
      <c r="D170">
        <v>3</v>
      </c>
      <c r="E170" s="1">
        <v>80</v>
      </c>
      <c r="F170" s="1">
        <f t="shared" si="24"/>
        <v>1440</v>
      </c>
      <c r="G170" s="3">
        <v>0.42</v>
      </c>
      <c r="H170" s="1">
        <f t="shared" si="25"/>
        <v>835.2</v>
      </c>
      <c r="I170" s="4"/>
    </row>
    <row r="171" spans="1:9" x14ac:dyDescent="0.2">
      <c r="A171" s="2" t="s">
        <v>76</v>
      </c>
      <c r="C171">
        <v>8</v>
      </c>
      <c r="D171">
        <v>3</v>
      </c>
      <c r="E171" s="1">
        <v>120</v>
      </c>
      <c r="F171" s="1">
        <f t="shared" si="24"/>
        <v>2880</v>
      </c>
      <c r="G171" s="3">
        <v>0.42</v>
      </c>
      <c r="H171" s="1">
        <f t="shared" si="25"/>
        <v>1670.4</v>
      </c>
      <c r="I171" s="4"/>
    </row>
    <row r="172" spans="1:9" x14ac:dyDescent="0.2">
      <c r="A172" s="2" t="s">
        <v>64</v>
      </c>
      <c r="C172">
        <v>16</v>
      </c>
      <c r="D172">
        <v>3</v>
      </c>
      <c r="E172" s="1">
        <v>40</v>
      </c>
      <c r="F172" s="1">
        <f t="shared" si="24"/>
        <v>1920</v>
      </c>
      <c r="G172" s="3">
        <v>0.42</v>
      </c>
      <c r="H172" s="1">
        <f t="shared" si="25"/>
        <v>1113.6000000000001</v>
      </c>
      <c r="I172" s="4"/>
    </row>
    <row r="173" spans="1:9" x14ac:dyDescent="0.2">
      <c r="A173" s="2" t="s">
        <v>78</v>
      </c>
      <c r="B173" t="s">
        <v>102</v>
      </c>
      <c r="C173">
        <v>9</v>
      </c>
      <c r="D173">
        <v>3</v>
      </c>
      <c r="E173" s="1">
        <v>150</v>
      </c>
      <c r="F173" s="1">
        <f t="shared" si="24"/>
        <v>4050</v>
      </c>
      <c r="G173" s="3">
        <v>0.42</v>
      </c>
      <c r="H173" s="1">
        <f t="shared" si="25"/>
        <v>2349.0000000000005</v>
      </c>
      <c r="I173" s="4"/>
    </row>
    <row r="174" spans="1:9" x14ac:dyDescent="0.2">
      <c r="A174" s="2" t="s">
        <v>80</v>
      </c>
      <c r="B174" t="s">
        <v>101</v>
      </c>
      <c r="C174">
        <v>12</v>
      </c>
      <c r="D174">
        <v>3</v>
      </c>
      <c r="E174" s="1">
        <v>40</v>
      </c>
      <c r="F174" s="1">
        <f t="shared" si="24"/>
        <v>1440</v>
      </c>
      <c r="G174" s="3">
        <v>0.42</v>
      </c>
      <c r="H174" s="1">
        <f t="shared" si="25"/>
        <v>835.2</v>
      </c>
      <c r="I174" s="4"/>
    </row>
    <row r="175" spans="1:9" x14ac:dyDescent="0.2">
      <c r="A175" s="2" t="s">
        <v>98</v>
      </c>
      <c r="B175" t="s">
        <v>99</v>
      </c>
      <c r="C175">
        <v>1</v>
      </c>
      <c r="D175">
        <v>3</v>
      </c>
      <c r="E175" s="1">
        <v>200</v>
      </c>
      <c r="F175" s="1">
        <f t="shared" si="24"/>
        <v>600</v>
      </c>
      <c r="G175" s="3">
        <v>0.42</v>
      </c>
      <c r="H175" s="1">
        <f t="shared" si="25"/>
        <v>348.00000000000006</v>
      </c>
      <c r="I175" s="4"/>
    </row>
    <row r="176" spans="1:9" x14ac:dyDescent="0.2">
      <c r="A176" s="22" t="s">
        <v>50</v>
      </c>
      <c r="B176" s="19"/>
      <c r="C176" s="19"/>
      <c r="D176" s="19"/>
      <c r="E176" s="20"/>
      <c r="F176" s="20"/>
      <c r="G176" s="21"/>
      <c r="H176" s="20"/>
      <c r="I176" s="4"/>
    </row>
    <row r="177" spans="1:9" x14ac:dyDescent="0.2">
      <c r="A177" s="2" t="s">
        <v>119</v>
      </c>
      <c r="B177" s="23" t="s">
        <v>100</v>
      </c>
      <c r="C177">
        <v>1</v>
      </c>
      <c r="D177">
        <v>3</v>
      </c>
      <c r="E177" s="1">
        <v>1000</v>
      </c>
      <c r="F177" s="1">
        <f t="shared" si="24"/>
        <v>3000</v>
      </c>
      <c r="G177" s="3">
        <v>0.42</v>
      </c>
      <c r="H177" s="1">
        <f t="shared" si="25"/>
        <v>1740.0000000000002</v>
      </c>
      <c r="I177" s="4"/>
    </row>
    <row r="178" spans="1:9" x14ac:dyDescent="0.2">
      <c r="A178" s="2" t="s">
        <v>116</v>
      </c>
      <c r="B178" t="s">
        <v>73</v>
      </c>
      <c r="C178">
        <v>1</v>
      </c>
      <c r="D178">
        <v>3</v>
      </c>
      <c r="E178" s="1">
        <v>3000</v>
      </c>
      <c r="F178" s="1">
        <f t="shared" si="24"/>
        <v>9000</v>
      </c>
      <c r="G178" s="3">
        <v>0.42</v>
      </c>
      <c r="H178" s="1">
        <f t="shared" si="25"/>
        <v>5220.0000000000009</v>
      </c>
      <c r="I178" s="4"/>
    </row>
    <row r="179" spans="1:9" x14ac:dyDescent="0.2">
      <c r="A179" s="2" t="s">
        <v>53</v>
      </c>
      <c r="B179" t="s">
        <v>68</v>
      </c>
      <c r="C179">
        <v>1</v>
      </c>
      <c r="D179">
        <v>3</v>
      </c>
      <c r="E179" s="1">
        <v>500</v>
      </c>
      <c r="F179" s="1">
        <f t="shared" ref="F179:F205" si="26">C179*D179*E179</f>
        <v>1500</v>
      </c>
      <c r="G179" s="3">
        <v>0.42</v>
      </c>
      <c r="H179" s="1">
        <f t="shared" ref="H179:H205" si="27">F179*(1-G179)</f>
        <v>870.00000000000011</v>
      </c>
      <c r="I179" s="4"/>
    </row>
    <row r="180" spans="1:9" x14ac:dyDescent="0.2">
      <c r="A180" s="2" t="s">
        <v>22</v>
      </c>
      <c r="C180">
        <v>2</v>
      </c>
      <c r="D180">
        <v>3</v>
      </c>
      <c r="E180" s="1">
        <v>200</v>
      </c>
      <c r="F180" s="1">
        <f t="shared" si="26"/>
        <v>1200</v>
      </c>
      <c r="G180" s="3">
        <v>0.42</v>
      </c>
      <c r="H180" s="1">
        <f t="shared" si="27"/>
        <v>696.00000000000011</v>
      </c>
      <c r="I180" s="4"/>
    </row>
    <row r="181" spans="1:9" x14ac:dyDescent="0.2">
      <c r="A181" s="2" t="s">
        <v>23</v>
      </c>
      <c r="C181">
        <v>1</v>
      </c>
      <c r="D181">
        <v>3</v>
      </c>
      <c r="E181" s="1">
        <v>150</v>
      </c>
      <c r="F181" s="1">
        <f t="shared" si="26"/>
        <v>450</v>
      </c>
      <c r="G181" s="3">
        <v>0.42</v>
      </c>
      <c r="H181" s="1">
        <f t="shared" si="27"/>
        <v>261.00000000000006</v>
      </c>
      <c r="I181" s="4"/>
    </row>
    <row r="182" spans="1:9" x14ac:dyDescent="0.2">
      <c r="A182" s="2" t="s">
        <v>56</v>
      </c>
      <c r="B182" t="s">
        <v>57</v>
      </c>
      <c r="C182">
        <v>1</v>
      </c>
      <c r="D182">
        <v>3</v>
      </c>
      <c r="E182" s="1">
        <v>50</v>
      </c>
      <c r="F182" s="1">
        <f t="shared" si="26"/>
        <v>150</v>
      </c>
      <c r="G182" s="3">
        <v>0.42</v>
      </c>
      <c r="H182" s="1">
        <f t="shared" si="27"/>
        <v>87.000000000000014</v>
      </c>
      <c r="I182" s="4"/>
    </row>
    <row r="183" spans="1:9" x14ac:dyDescent="0.2">
      <c r="A183" s="2" t="s">
        <v>63</v>
      </c>
      <c r="B183" t="s">
        <v>58</v>
      </c>
      <c r="C183">
        <v>2</v>
      </c>
      <c r="D183">
        <v>3</v>
      </c>
      <c r="E183" s="1">
        <v>300</v>
      </c>
      <c r="F183" s="1">
        <f t="shared" si="26"/>
        <v>1800</v>
      </c>
      <c r="G183" s="3">
        <v>0.42</v>
      </c>
      <c r="H183" s="1">
        <f t="shared" si="27"/>
        <v>1044.0000000000002</v>
      </c>
      <c r="I183" s="4"/>
    </row>
    <row r="184" spans="1:9" x14ac:dyDescent="0.2">
      <c r="A184" s="2" t="s">
        <v>59</v>
      </c>
      <c r="C184">
        <v>1</v>
      </c>
      <c r="D184">
        <v>3</v>
      </c>
      <c r="E184" s="1">
        <v>150</v>
      </c>
      <c r="F184" s="1">
        <f t="shared" si="26"/>
        <v>450</v>
      </c>
      <c r="G184" s="3">
        <v>0.42</v>
      </c>
      <c r="H184" s="1">
        <f t="shared" si="27"/>
        <v>261.00000000000006</v>
      </c>
      <c r="I184" s="4"/>
    </row>
    <row r="185" spans="1:9" x14ac:dyDescent="0.2">
      <c r="A185" s="2" t="s">
        <v>70</v>
      </c>
      <c r="C185">
        <v>1</v>
      </c>
      <c r="D185">
        <v>3</v>
      </c>
      <c r="E185" s="1">
        <v>900</v>
      </c>
      <c r="F185" s="1">
        <f t="shared" si="26"/>
        <v>2700</v>
      </c>
      <c r="G185" s="3">
        <v>0.42</v>
      </c>
      <c r="H185" s="1">
        <f t="shared" si="27"/>
        <v>1566.0000000000002</v>
      </c>
      <c r="I185" s="4"/>
    </row>
    <row r="186" spans="1:9" x14ac:dyDescent="0.2">
      <c r="A186" s="2" t="s">
        <v>21</v>
      </c>
      <c r="C186">
        <v>2</v>
      </c>
      <c r="D186">
        <v>3</v>
      </c>
      <c r="E186" s="1">
        <v>500</v>
      </c>
      <c r="F186" s="1">
        <f t="shared" si="26"/>
        <v>3000</v>
      </c>
      <c r="G186" s="3">
        <v>0.42</v>
      </c>
      <c r="H186" s="1">
        <f t="shared" si="27"/>
        <v>1740.0000000000002</v>
      </c>
      <c r="I186" s="4"/>
    </row>
    <row r="187" spans="1:9" x14ac:dyDescent="0.2">
      <c r="A187" s="2" t="s">
        <v>60</v>
      </c>
      <c r="B187" t="s">
        <v>69</v>
      </c>
      <c r="C187">
        <v>1</v>
      </c>
      <c r="D187">
        <v>3</v>
      </c>
      <c r="E187" s="1">
        <v>500</v>
      </c>
      <c r="F187" s="1">
        <f t="shared" si="26"/>
        <v>1500</v>
      </c>
      <c r="G187" s="3">
        <v>0.42</v>
      </c>
      <c r="H187" s="1">
        <f t="shared" si="27"/>
        <v>870.00000000000011</v>
      </c>
      <c r="I187" s="4"/>
    </row>
    <row r="188" spans="1:9" x14ac:dyDescent="0.2">
      <c r="A188" s="2" t="s">
        <v>61</v>
      </c>
      <c r="C188">
        <v>4</v>
      </c>
      <c r="D188">
        <v>3</v>
      </c>
      <c r="E188" s="1">
        <v>200</v>
      </c>
      <c r="F188" s="1">
        <f t="shared" si="26"/>
        <v>2400</v>
      </c>
      <c r="G188" s="3">
        <v>0.42</v>
      </c>
      <c r="H188" s="1">
        <f t="shared" si="27"/>
        <v>1392.0000000000002</v>
      </c>
      <c r="I188" s="4"/>
    </row>
    <row r="189" spans="1:9" x14ac:dyDescent="0.2">
      <c r="A189" s="2" t="s">
        <v>62</v>
      </c>
      <c r="C189">
        <v>6</v>
      </c>
      <c r="D189">
        <v>3</v>
      </c>
      <c r="E189" s="1">
        <v>200</v>
      </c>
      <c r="F189" s="1">
        <f t="shared" si="26"/>
        <v>3600</v>
      </c>
      <c r="G189" s="3">
        <v>0.42</v>
      </c>
      <c r="H189" s="1">
        <f t="shared" si="27"/>
        <v>2088.0000000000005</v>
      </c>
      <c r="I189" s="4"/>
    </row>
    <row r="190" spans="1:9" x14ac:dyDescent="0.2">
      <c r="A190" s="2" t="s">
        <v>62</v>
      </c>
      <c r="B190" t="s">
        <v>75</v>
      </c>
      <c r="C190">
        <v>2</v>
      </c>
      <c r="D190">
        <v>3</v>
      </c>
      <c r="E190" s="1">
        <v>100</v>
      </c>
      <c r="F190" s="1">
        <f t="shared" si="26"/>
        <v>600</v>
      </c>
      <c r="G190" s="3">
        <v>0.42</v>
      </c>
      <c r="H190" s="1">
        <f t="shared" si="27"/>
        <v>348.00000000000006</v>
      </c>
      <c r="I190" s="4"/>
    </row>
    <row r="191" spans="1:9" x14ac:dyDescent="0.2">
      <c r="A191" s="2" t="s">
        <v>107</v>
      </c>
      <c r="B191" t="s">
        <v>77</v>
      </c>
      <c r="C191">
        <v>6</v>
      </c>
      <c r="D191">
        <v>3</v>
      </c>
      <c r="E191" s="1">
        <v>80</v>
      </c>
      <c r="F191" s="1">
        <f t="shared" si="26"/>
        <v>1440</v>
      </c>
      <c r="G191" s="3">
        <v>0.42</v>
      </c>
      <c r="H191" s="1">
        <f t="shared" si="27"/>
        <v>835.2</v>
      </c>
      <c r="I191" s="4"/>
    </row>
    <row r="192" spans="1:9" x14ac:dyDescent="0.2">
      <c r="A192" s="2" t="s">
        <v>76</v>
      </c>
      <c r="C192">
        <v>4</v>
      </c>
      <c r="D192">
        <v>3</v>
      </c>
      <c r="E192" s="1">
        <v>120</v>
      </c>
      <c r="F192" s="1">
        <f t="shared" si="26"/>
        <v>1440</v>
      </c>
      <c r="G192" s="3">
        <v>0.42</v>
      </c>
      <c r="H192" s="1">
        <f t="shared" si="27"/>
        <v>835.2</v>
      </c>
      <c r="I192" s="4"/>
    </row>
    <row r="193" spans="1:9" x14ac:dyDescent="0.2">
      <c r="A193" s="2" t="s">
        <v>64</v>
      </c>
      <c r="C193">
        <v>16</v>
      </c>
      <c r="D193">
        <v>3</v>
      </c>
      <c r="E193" s="1">
        <v>40</v>
      </c>
      <c r="F193" s="1">
        <f t="shared" si="26"/>
        <v>1920</v>
      </c>
      <c r="G193" s="3">
        <v>0.42</v>
      </c>
      <c r="H193" s="1">
        <f t="shared" si="27"/>
        <v>1113.6000000000001</v>
      </c>
      <c r="I193" s="4"/>
    </row>
    <row r="194" spans="1:9" x14ac:dyDescent="0.2">
      <c r="A194" s="2" t="s">
        <v>78</v>
      </c>
      <c r="B194" t="s">
        <v>102</v>
      </c>
      <c r="C194">
        <v>9</v>
      </c>
      <c r="D194">
        <v>3</v>
      </c>
      <c r="E194" s="1">
        <v>150</v>
      </c>
      <c r="F194" s="1">
        <f t="shared" si="26"/>
        <v>4050</v>
      </c>
      <c r="G194" s="3">
        <v>0.42</v>
      </c>
      <c r="H194" s="1">
        <f t="shared" si="27"/>
        <v>2349.0000000000005</v>
      </c>
      <c r="I194" s="4"/>
    </row>
    <row r="195" spans="1:9" x14ac:dyDescent="0.2">
      <c r="A195" s="2" t="s">
        <v>80</v>
      </c>
      <c r="B195" t="s">
        <v>101</v>
      </c>
      <c r="C195">
        <v>12</v>
      </c>
      <c r="D195">
        <v>3</v>
      </c>
      <c r="E195" s="1">
        <v>40</v>
      </c>
      <c r="F195" s="1">
        <f t="shared" si="26"/>
        <v>1440</v>
      </c>
      <c r="G195" s="3">
        <v>0.42</v>
      </c>
      <c r="H195" s="1">
        <f t="shared" si="27"/>
        <v>835.2</v>
      </c>
      <c r="I195" s="4"/>
    </row>
    <row r="196" spans="1:9" x14ac:dyDescent="0.2">
      <c r="A196" s="2" t="s">
        <v>98</v>
      </c>
      <c r="B196" t="s">
        <v>99</v>
      </c>
      <c r="C196">
        <v>1</v>
      </c>
      <c r="D196">
        <v>3</v>
      </c>
      <c r="E196" s="1">
        <v>200</v>
      </c>
      <c r="F196" s="1">
        <f t="shared" si="26"/>
        <v>600</v>
      </c>
      <c r="G196" s="3">
        <v>0.42</v>
      </c>
      <c r="H196" s="1">
        <f t="shared" si="27"/>
        <v>348.00000000000006</v>
      </c>
      <c r="I196" s="4"/>
    </row>
    <row r="197" spans="1:9" x14ac:dyDescent="0.2">
      <c r="A197" s="22" t="s">
        <v>34</v>
      </c>
      <c r="B197" s="19"/>
      <c r="C197" s="19"/>
      <c r="D197" s="19"/>
      <c r="E197" s="20"/>
      <c r="F197" s="20"/>
      <c r="G197" s="21"/>
      <c r="H197" s="20"/>
      <c r="I197" s="4"/>
    </row>
    <row r="198" spans="1:9" x14ac:dyDescent="0.2">
      <c r="A198" s="2" t="s">
        <v>24</v>
      </c>
      <c r="C198">
        <v>15</v>
      </c>
      <c r="D198">
        <v>3</v>
      </c>
      <c r="E198" s="1">
        <v>400</v>
      </c>
      <c r="F198" s="1">
        <f t="shared" si="26"/>
        <v>18000</v>
      </c>
      <c r="G198" s="3">
        <v>0.42</v>
      </c>
      <c r="H198" s="1">
        <f t="shared" si="27"/>
        <v>10440.000000000002</v>
      </c>
      <c r="I198" s="4"/>
    </row>
    <row r="199" spans="1:9" x14ac:dyDescent="0.2">
      <c r="A199" s="2" t="s">
        <v>114</v>
      </c>
      <c r="B199" t="s">
        <v>108</v>
      </c>
      <c r="C199">
        <v>15</v>
      </c>
      <c r="D199">
        <v>3</v>
      </c>
      <c r="E199" s="1">
        <v>60</v>
      </c>
      <c r="F199" s="1">
        <f t="shared" si="26"/>
        <v>2700</v>
      </c>
      <c r="G199" s="3">
        <v>0.42</v>
      </c>
      <c r="H199" s="1">
        <f t="shared" si="27"/>
        <v>1566.0000000000002</v>
      </c>
      <c r="I199" s="4"/>
    </row>
    <row r="200" spans="1:9" x14ac:dyDescent="0.2">
      <c r="A200" s="2" t="s">
        <v>22</v>
      </c>
      <c r="C200">
        <v>15</v>
      </c>
      <c r="D200">
        <v>3</v>
      </c>
      <c r="E200" s="1">
        <v>200</v>
      </c>
      <c r="F200" s="1">
        <f t="shared" si="26"/>
        <v>9000</v>
      </c>
      <c r="G200" s="3">
        <v>0.42</v>
      </c>
      <c r="H200" s="1">
        <f t="shared" si="27"/>
        <v>5220.0000000000009</v>
      </c>
      <c r="I200" s="4"/>
    </row>
    <row r="201" spans="1:9" x14ac:dyDescent="0.2">
      <c r="A201" s="22" t="s">
        <v>109</v>
      </c>
      <c r="B201" s="19"/>
      <c r="C201" s="19"/>
      <c r="D201" s="19"/>
      <c r="E201" s="20"/>
      <c r="F201" s="20"/>
      <c r="G201" s="21"/>
      <c r="H201" s="20"/>
      <c r="I201" s="4"/>
    </row>
    <row r="202" spans="1:9" x14ac:dyDescent="0.2">
      <c r="A202" s="2" t="s">
        <v>110</v>
      </c>
      <c r="B202" t="s">
        <v>111</v>
      </c>
      <c r="C202">
        <v>18</v>
      </c>
      <c r="D202">
        <v>3</v>
      </c>
      <c r="E202" s="1">
        <v>400</v>
      </c>
      <c r="F202" s="1">
        <f t="shared" si="26"/>
        <v>21600</v>
      </c>
      <c r="G202" s="3">
        <v>0.5</v>
      </c>
      <c r="H202" s="1">
        <f t="shared" si="27"/>
        <v>10800</v>
      </c>
      <c r="I202" s="4"/>
    </row>
    <row r="203" spans="1:9" x14ac:dyDescent="0.2">
      <c r="A203" s="2" t="s">
        <v>112</v>
      </c>
      <c r="C203">
        <v>3</v>
      </c>
      <c r="D203">
        <v>3</v>
      </c>
      <c r="E203" s="1">
        <v>200</v>
      </c>
      <c r="F203" s="1">
        <f t="shared" si="26"/>
        <v>1800</v>
      </c>
      <c r="G203" s="3">
        <v>0.42</v>
      </c>
      <c r="H203" s="1">
        <f t="shared" si="27"/>
        <v>1044.0000000000002</v>
      </c>
      <c r="I203" s="4"/>
    </row>
    <row r="204" spans="1:9" x14ac:dyDescent="0.2">
      <c r="A204" s="2" t="s">
        <v>113</v>
      </c>
      <c r="C204">
        <v>3</v>
      </c>
      <c r="D204">
        <v>3</v>
      </c>
      <c r="E204" s="1">
        <v>160</v>
      </c>
      <c r="F204" s="1">
        <f t="shared" si="26"/>
        <v>1440</v>
      </c>
      <c r="G204" s="3">
        <v>0.42</v>
      </c>
      <c r="H204" s="1">
        <f t="shared" si="27"/>
        <v>835.2</v>
      </c>
      <c r="I204" s="4"/>
    </row>
    <row r="205" spans="1:9" x14ac:dyDescent="0.2">
      <c r="A205" s="2" t="s">
        <v>115</v>
      </c>
      <c r="C205">
        <v>3</v>
      </c>
      <c r="D205">
        <v>3</v>
      </c>
      <c r="E205" s="1">
        <v>150</v>
      </c>
      <c r="F205" s="1">
        <f t="shared" si="26"/>
        <v>1350</v>
      </c>
      <c r="G205" s="3">
        <v>0.42</v>
      </c>
      <c r="H205" s="1">
        <f t="shared" si="27"/>
        <v>783.00000000000011</v>
      </c>
      <c r="I205" s="4"/>
    </row>
    <row r="206" spans="1:9" x14ac:dyDescent="0.2">
      <c r="A206" s="2"/>
      <c r="I206" s="4"/>
    </row>
    <row r="207" spans="1:9" x14ac:dyDescent="0.2">
      <c r="A207" s="2"/>
      <c r="I207" s="4"/>
    </row>
    <row r="208" spans="1:9" ht="17" thickBot="1" x14ac:dyDescent="0.25">
      <c r="A208" s="5" t="s">
        <v>31</v>
      </c>
      <c r="B208" s="6"/>
      <c r="C208" s="6"/>
      <c r="D208" s="6"/>
      <c r="E208" s="7"/>
      <c r="F208" s="7"/>
      <c r="G208" s="6"/>
      <c r="H208" s="7">
        <f>SUM(H50:H207)</f>
        <v>219339.00000000006</v>
      </c>
      <c r="I208" s="9"/>
    </row>
    <row r="209" spans="1:9" ht="17" thickBot="1" x14ac:dyDescent="0.25"/>
    <row r="210" spans="1:9" ht="17" thickBot="1" x14ac:dyDescent="0.25">
      <c r="A210" s="14" t="s">
        <v>32</v>
      </c>
      <c r="B210" s="15"/>
      <c r="C210" s="15"/>
      <c r="D210" s="15"/>
      <c r="E210" s="16"/>
      <c r="F210" s="16"/>
      <c r="G210" s="15"/>
      <c r="H210" s="17">
        <f>H208+H46+H40</f>
        <v>373939.00000000006</v>
      </c>
      <c r="I210" s="18"/>
    </row>
    <row r="214" spans="1:9" x14ac:dyDescent="0.2">
      <c r="A214" t="s">
        <v>25</v>
      </c>
    </row>
    <row r="215" spans="1:9" x14ac:dyDescent="0.2">
      <c r="A215" t="s">
        <v>26</v>
      </c>
    </row>
    <row r="216" spans="1:9" x14ac:dyDescent="0.2">
      <c r="A216" t="s">
        <v>33</v>
      </c>
    </row>
    <row r="218" spans="1:9" x14ac:dyDescent="0.2">
      <c r="A218" t="s">
        <v>27</v>
      </c>
      <c r="B218" t="s">
        <v>30</v>
      </c>
    </row>
    <row r="219" spans="1:9" x14ac:dyDescent="0.2">
      <c r="A219" t="s">
        <v>28</v>
      </c>
      <c r="B219" t="s">
        <v>29</v>
      </c>
    </row>
  </sheetData>
  <mergeCells count="4">
    <mergeCell ref="A1:I1"/>
    <mergeCell ref="A3:I3"/>
    <mergeCell ref="A42:I42"/>
    <mergeCell ref="A48:I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PLTR 05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Kuźma</dc:creator>
  <cp:lastModifiedBy>Dominik Kuźma</cp:lastModifiedBy>
  <dcterms:created xsi:type="dcterms:W3CDTF">2026-06-12T20:28:34Z</dcterms:created>
  <dcterms:modified xsi:type="dcterms:W3CDTF">2026-07-02T00:15:45Z</dcterms:modified>
</cp:coreProperties>
</file>