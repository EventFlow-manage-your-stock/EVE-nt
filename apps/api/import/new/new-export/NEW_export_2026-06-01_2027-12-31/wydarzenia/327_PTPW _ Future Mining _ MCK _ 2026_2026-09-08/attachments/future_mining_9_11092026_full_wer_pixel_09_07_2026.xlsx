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dominikkuzma/Documents/_Dokumenty/Klienci i zlecenia/PTWP EC/2026 Future mining/"/>
    </mc:Choice>
  </mc:AlternateContent>
  <xr:revisionPtr revIDLastSave="0" documentId="8_{C1E1A62C-9E2D-6F4A-AC30-57924E48D0F0}" xr6:coauthVersionLast="47" xr6:coauthVersionMax="47" xr10:uidLastSave="{00000000-0000-0000-0000-000000000000}"/>
  <bookViews>
    <workbookView xWindow="-35560" yWindow="-620" windowWidth="34340" windowHeight="31640" tabRatio="500" xr2:uid="{00000000-000D-0000-FFFF-FFFF00000000}"/>
  </bookViews>
  <sheets>
    <sheet name="Wycena" sheetId="1" r:id="rId1"/>
  </sheets>
  <definedNames>
    <definedName name="_xlnm.Print_Area" localSheetId="0">Wycena!$B$3:$K$163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75" i="1" l="1"/>
  <c r="I175" i="1"/>
  <c r="K184" i="1"/>
  <c r="I184" i="1"/>
  <c r="K183" i="1"/>
  <c r="I183" i="1"/>
  <c r="I182" i="1"/>
  <c r="K181" i="1"/>
  <c r="I181" i="1"/>
  <c r="K180" i="1"/>
  <c r="I180" i="1"/>
  <c r="K179" i="1"/>
  <c r="I179" i="1"/>
  <c r="K178" i="1"/>
  <c r="I178" i="1"/>
  <c r="K177" i="1"/>
  <c r="I177" i="1"/>
  <c r="K176" i="1"/>
  <c r="I176" i="1"/>
  <c r="K174" i="1"/>
  <c r="I174" i="1"/>
  <c r="K173" i="1"/>
  <c r="I173" i="1"/>
  <c r="K172" i="1"/>
  <c r="I172" i="1"/>
  <c r="K171" i="1"/>
  <c r="I171" i="1"/>
  <c r="K140" i="1"/>
  <c r="I140" i="1"/>
  <c r="K126" i="1"/>
  <c r="I126" i="1"/>
  <c r="K127" i="1"/>
  <c r="I127" i="1"/>
  <c r="K125" i="1"/>
  <c r="I125" i="1"/>
  <c r="K124" i="1"/>
  <c r="I124" i="1"/>
  <c r="K123" i="1"/>
  <c r="I123" i="1"/>
  <c r="K122" i="1"/>
  <c r="I122" i="1"/>
  <c r="K121" i="1"/>
  <c r="I121" i="1"/>
  <c r="K120" i="1"/>
  <c r="I120" i="1"/>
  <c r="K119" i="1"/>
  <c r="I119" i="1"/>
  <c r="K118" i="1"/>
  <c r="I118" i="1"/>
  <c r="K117" i="1"/>
  <c r="I117" i="1"/>
  <c r="K115" i="1"/>
  <c r="I115" i="1"/>
  <c r="K114" i="1"/>
  <c r="I114" i="1"/>
  <c r="K113" i="1"/>
  <c r="I113" i="1"/>
  <c r="K112" i="1"/>
  <c r="I112" i="1"/>
  <c r="K111" i="1"/>
  <c r="I111" i="1"/>
  <c r="K110" i="1"/>
  <c r="I110" i="1"/>
  <c r="K109" i="1"/>
  <c r="I109" i="1"/>
  <c r="K108" i="1"/>
  <c r="I108" i="1"/>
  <c r="K106" i="1"/>
  <c r="I106" i="1"/>
  <c r="K105" i="1"/>
  <c r="I105" i="1"/>
  <c r="K104" i="1"/>
  <c r="I104" i="1"/>
  <c r="K103" i="1"/>
  <c r="I103" i="1"/>
  <c r="K102" i="1"/>
  <c r="I102" i="1"/>
  <c r="K101" i="1"/>
  <c r="I101" i="1"/>
  <c r="K100" i="1"/>
  <c r="I100" i="1"/>
  <c r="K99" i="1"/>
  <c r="I99" i="1"/>
  <c r="K98" i="1"/>
  <c r="I98" i="1"/>
  <c r="K97" i="1"/>
  <c r="I97" i="1"/>
  <c r="K96" i="1"/>
  <c r="I96" i="1"/>
  <c r="K95" i="1"/>
  <c r="I95" i="1"/>
  <c r="K94" i="1"/>
  <c r="I94" i="1"/>
  <c r="K93" i="1"/>
  <c r="I93" i="1"/>
  <c r="K92" i="1"/>
  <c r="I92" i="1"/>
  <c r="K91" i="1"/>
  <c r="I91" i="1"/>
  <c r="K90" i="1"/>
  <c r="I90" i="1"/>
  <c r="K89" i="1"/>
  <c r="I89" i="1"/>
  <c r="K88" i="1"/>
  <c r="I88" i="1"/>
  <c r="K87" i="1"/>
  <c r="I87" i="1"/>
  <c r="K86" i="1"/>
  <c r="I86" i="1"/>
  <c r="K53" i="1"/>
  <c r="I53" i="1"/>
  <c r="K159" i="1"/>
  <c r="I159" i="1"/>
  <c r="K74" i="1"/>
  <c r="I74" i="1"/>
  <c r="K34" i="1"/>
  <c r="I34" i="1"/>
  <c r="K160" i="1"/>
  <c r="I160" i="1"/>
  <c r="K158" i="1"/>
  <c r="I158" i="1"/>
  <c r="K156" i="1" l="1"/>
  <c r="I156" i="1"/>
  <c r="K155" i="1"/>
  <c r="I155" i="1"/>
  <c r="K154" i="1"/>
  <c r="I154" i="1"/>
  <c r="K153" i="1"/>
  <c r="I153" i="1"/>
  <c r="K152" i="1"/>
  <c r="I152" i="1"/>
  <c r="K150" i="1"/>
  <c r="I150" i="1"/>
  <c r="K149" i="1"/>
  <c r="I149" i="1"/>
  <c r="K148" i="1"/>
  <c r="I148" i="1"/>
  <c r="K147" i="1"/>
  <c r="I147" i="1"/>
  <c r="K146" i="1"/>
  <c r="I146" i="1"/>
  <c r="K145" i="1"/>
  <c r="I145" i="1"/>
  <c r="K144" i="1"/>
  <c r="I144" i="1"/>
  <c r="K143" i="1"/>
  <c r="I143" i="1"/>
  <c r="K142" i="1"/>
  <c r="I142" i="1"/>
  <c r="K141" i="1"/>
  <c r="I141" i="1"/>
  <c r="K139" i="1"/>
  <c r="I139" i="1"/>
  <c r="K138" i="1"/>
  <c r="I138" i="1"/>
  <c r="K137" i="1"/>
  <c r="I137" i="1"/>
  <c r="K136" i="1"/>
  <c r="I136" i="1"/>
  <c r="K135" i="1"/>
  <c r="I135" i="1"/>
  <c r="K134" i="1"/>
  <c r="I134" i="1"/>
  <c r="K133" i="1"/>
  <c r="I133" i="1"/>
  <c r="K132" i="1"/>
  <c r="I132" i="1"/>
  <c r="K52" i="1"/>
  <c r="I52" i="1"/>
  <c r="K51" i="1"/>
  <c r="I51" i="1"/>
  <c r="K50" i="1"/>
  <c r="I50" i="1"/>
  <c r="K49" i="1"/>
  <c r="I49" i="1"/>
  <c r="K48" i="1"/>
  <c r="I48" i="1"/>
  <c r="K47" i="1"/>
  <c r="I47" i="1"/>
  <c r="K46" i="1"/>
  <c r="I46" i="1"/>
  <c r="K45" i="1"/>
  <c r="I45" i="1"/>
  <c r="K12" i="1"/>
  <c r="I12" i="1"/>
  <c r="K11" i="1"/>
  <c r="I11" i="1"/>
  <c r="K10" i="1"/>
  <c r="I10" i="1"/>
  <c r="K9" i="1"/>
  <c r="I9" i="1"/>
  <c r="K8" i="1"/>
  <c r="I8" i="1"/>
  <c r="K7" i="1"/>
  <c r="I7" i="1"/>
  <c r="K6" i="1"/>
  <c r="I6" i="1"/>
  <c r="K128" i="1" l="1"/>
  <c r="K81" i="1" l="1"/>
  <c r="I81" i="1"/>
  <c r="K78" i="1"/>
  <c r="I78" i="1"/>
  <c r="K77" i="1"/>
  <c r="I77" i="1"/>
  <c r="K76" i="1"/>
  <c r="I76" i="1"/>
  <c r="K75" i="1"/>
  <c r="I75" i="1"/>
  <c r="K73" i="1"/>
  <c r="I73" i="1"/>
  <c r="K71" i="1"/>
  <c r="I71" i="1"/>
  <c r="K70" i="1"/>
  <c r="I70" i="1"/>
  <c r="K69" i="1"/>
  <c r="I69" i="1"/>
  <c r="K68" i="1"/>
  <c r="I68" i="1"/>
  <c r="K67" i="1"/>
  <c r="I67" i="1"/>
  <c r="K65" i="1"/>
  <c r="I65" i="1"/>
  <c r="K64" i="1"/>
  <c r="I64" i="1"/>
  <c r="K63" i="1"/>
  <c r="I63" i="1"/>
  <c r="K62" i="1"/>
  <c r="I62" i="1"/>
  <c r="K61" i="1"/>
  <c r="I61" i="1"/>
  <c r="K60" i="1"/>
  <c r="I60" i="1"/>
  <c r="K59" i="1"/>
  <c r="I59" i="1"/>
  <c r="K58" i="1"/>
  <c r="I58" i="1"/>
  <c r="K57" i="1"/>
  <c r="I57" i="1"/>
  <c r="K56" i="1"/>
  <c r="I56" i="1"/>
  <c r="K55" i="1"/>
  <c r="I55" i="1"/>
  <c r="K54" i="1"/>
  <c r="I54" i="1"/>
  <c r="K25" i="1"/>
  <c r="I25" i="1"/>
  <c r="K24" i="1"/>
  <c r="I24" i="1"/>
  <c r="K5" i="1" l="1"/>
  <c r="I5" i="1"/>
  <c r="K13" i="1" l="1"/>
  <c r="K14" i="1"/>
  <c r="K15" i="1"/>
  <c r="K16" i="1"/>
  <c r="K17" i="1"/>
  <c r="K18" i="1"/>
  <c r="K19" i="1"/>
  <c r="K20" i="1"/>
  <c r="K21" i="1"/>
  <c r="K22" i="1"/>
  <c r="K23" i="1"/>
  <c r="K27" i="1"/>
  <c r="K28" i="1"/>
  <c r="K29" i="1"/>
  <c r="K30" i="1"/>
  <c r="K31" i="1"/>
  <c r="K33" i="1"/>
  <c r="K35" i="1"/>
  <c r="K36" i="1"/>
  <c r="K37" i="1"/>
  <c r="K38" i="1"/>
  <c r="K39" i="1"/>
  <c r="K40" i="1"/>
  <c r="I13" i="1"/>
  <c r="I14" i="1"/>
  <c r="I15" i="1"/>
  <c r="I16" i="1"/>
  <c r="I17" i="1"/>
  <c r="I18" i="1"/>
  <c r="I19" i="1"/>
  <c r="I20" i="1"/>
  <c r="I21" i="1"/>
  <c r="I22" i="1"/>
  <c r="I23" i="1"/>
  <c r="I27" i="1"/>
  <c r="I28" i="1"/>
  <c r="I29" i="1"/>
  <c r="I30" i="1"/>
  <c r="I31" i="1"/>
  <c r="I33" i="1"/>
  <c r="I35" i="1"/>
  <c r="I36" i="1"/>
  <c r="I37" i="1"/>
  <c r="I38" i="1"/>
  <c r="I39" i="1"/>
  <c r="I40" i="1"/>
  <c r="I185" i="1"/>
  <c r="K192" i="1" l="1"/>
  <c r="I192" i="1"/>
  <c r="I166" i="1" l="1"/>
  <c r="K166" i="1"/>
  <c r="I167" i="1"/>
  <c r="K167" i="1"/>
  <c r="K41" i="1" l="1"/>
  <c r="K161" i="1" l="1"/>
  <c r="I164" i="1"/>
  <c r="K164" i="1"/>
  <c r="K191" i="1"/>
  <c r="I191" i="1"/>
  <c r="K190" i="1"/>
  <c r="I190" i="1"/>
  <c r="K193" i="1" l="1"/>
  <c r="K185" i="1"/>
  <c r="K186" i="1" l="1"/>
  <c r="K187" i="1" s="1"/>
  <c r="I186" i="1"/>
  <c r="K165" i="1" l="1"/>
  <c r="I165" i="1"/>
  <c r="K82" i="1"/>
  <c r="K168" i="1" l="1"/>
  <c r="J196" i="1" s="1"/>
</calcChain>
</file>

<file path=xl/sharedStrings.xml><?xml version="1.0" encoding="utf-8"?>
<sst xmlns="http://schemas.openxmlformats.org/spreadsheetml/2006/main" count="403" uniqueCount="117">
  <si>
    <t>System do streamingu do intenretu (YT i FB)</t>
  </si>
  <si>
    <t>Ilość szt.</t>
  </si>
  <si>
    <t>Liczba dni</t>
  </si>
  <si>
    <t>Cena netto za szt.</t>
  </si>
  <si>
    <t>Wartość netto przed rabatem</t>
  </si>
  <si>
    <t>Rabat (%)</t>
  </si>
  <si>
    <t>Wartość netto po rabacie</t>
  </si>
  <si>
    <t>SUMA</t>
  </si>
  <si>
    <t>Laptopy do realizacji wizji</t>
  </si>
  <si>
    <t>Mikrofon bezprzewodowy</t>
  </si>
  <si>
    <t>Spliter HDMI</t>
  </si>
  <si>
    <t>Karta przechwytująca Video - usb</t>
  </si>
  <si>
    <t>Interfejs Audio</t>
  </si>
  <si>
    <t xml:space="preserve">Cyfrowy mikser audio </t>
  </si>
  <si>
    <t>Materiały eksploatacyjne</t>
  </si>
  <si>
    <t>Taśma (gafa)</t>
  </si>
  <si>
    <t>Bateria AA</t>
  </si>
  <si>
    <t>SUAM</t>
  </si>
  <si>
    <t>Router</t>
  </si>
  <si>
    <t>Switch 8in</t>
  </si>
  <si>
    <t>UPS - zasilacz awaryjny realizatorki</t>
  </si>
  <si>
    <t>Firma</t>
  </si>
  <si>
    <t>Pixel</t>
  </si>
  <si>
    <t>Obsługa</t>
  </si>
  <si>
    <t/>
  </si>
  <si>
    <t>Aktywna kolumna głośnikowa</t>
  </si>
  <si>
    <t>Licencje Zoom</t>
  </si>
  <si>
    <t>PTWP</t>
  </si>
  <si>
    <t>Punkt wdzwaniania</t>
  </si>
  <si>
    <t>Zoom/streaming/mikrofony</t>
  </si>
  <si>
    <t>Timer z monitorem 22"</t>
  </si>
  <si>
    <t>Kamera na statywie SONY</t>
  </si>
  <si>
    <t>Aktywna kolumna głośnikowa (odsłuch)</t>
  </si>
  <si>
    <t>Obsługa Pixel</t>
  </si>
  <si>
    <t>Scena SW 1</t>
  </si>
  <si>
    <t>Scena SW 2</t>
  </si>
  <si>
    <t>MCK</t>
  </si>
  <si>
    <t>LightGo naświetlacz</t>
  </si>
  <si>
    <t>Pixel Rozdzielnia 63A</t>
  </si>
  <si>
    <t>Chamsys Stadium Connect- konsoleta</t>
  </si>
  <si>
    <t>Laptop</t>
  </si>
  <si>
    <t>Laptop do połączeń ZOOM</t>
  </si>
  <si>
    <t>Laptop do realizacji wizji</t>
  </si>
  <si>
    <t>Apple Mac Studio M1 Max</t>
  </si>
  <si>
    <t>Monitor 55" na podgląd</t>
  </si>
  <si>
    <t>ROBE 600+ wisi na kresce 8m</t>
  </si>
  <si>
    <t xml:space="preserve">Kratownica 2m </t>
  </si>
  <si>
    <t>Wyciagarka</t>
  </si>
  <si>
    <t>Future Mining 9-11.2026</t>
  </si>
  <si>
    <t>Wideo</t>
  </si>
  <si>
    <t>Dźwięk</t>
  </si>
  <si>
    <t>Światło</t>
  </si>
  <si>
    <t>Balowa C</t>
  </si>
  <si>
    <t>Novastar MCTRL 4K</t>
  </si>
  <si>
    <t>Światłowód MPO 12 100m na bębnie</t>
  </si>
  <si>
    <t>Novastar CVT4K konwerter światłowodowy</t>
  </si>
  <si>
    <t>Alustage Kratownica Quadro 2m czarna</t>
  </si>
  <si>
    <t>Alustage Kratownica Quadro 1m czarna</t>
  </si>
  <si>
    <t>Alustage Podstawa do kratownicy 80x80cm czarna</t>
  </si>
  <si>
    <t>Barco S3 jr</t>
  </si>
  <si>
    <t>Mac Studio M1 MAX</t>
  </si>
  <si>
    <t>System do streamingu do internetu (YT i FB)</t>
  </si>
  <si>
    <t>Podgląd 55'</t>
  </si>
  <si>
    <t>Laptop timer</t>
  </si>
  <si>
    <t>Kamera na statywie Sony FX6</t>
  </si>
  <si>
    <t>Balast 25 KG</t>
  </si>
  <si>
    <t>Audio</t>
  </si>
  <si>
    <t>L'acoustics X12</t>
  </si>
  <si>
    <t>L'acoustics X8 odsłuch</t>
  </si>
  <si>
    <t>L'acoustics KS21</t>
  </si>
  <si>
    <t>L'acoustics LA4X wzmacniacz</t>
  </si>
  <si>
    <t>Odsłuch douszny IEM</t>
  </si>
  <si>
    <t>Oświetlenie</t>
  </si>
  <si>
    <t>Oświetlenie sceny (Ayrton Stradale)</t>
  </si>
  <si>
    <t xml:space="preserve">Brighter Naświetlacz ATOM R+ </t>
  </si>
  <si>
    <t>Martin MAC Aura XIP</t>
  </si>
  <si>
    <t>Martin MAC Quantum Profile gobo</t>
  </si>
  <si>
    <t>Bramka artnet</t>
  </si>
  <si>
    <t>Chamsys MQ250M</t>
  </si>
  <si>
    <t>Podest pod kamerę 2x1m</t>
  </si>
  <si>
    <t>Rozdzielnica Pixel 63A</t>
  </si>
  <si>
    <t xml:space="preserve">Realizacja vMix - Pixel
Realizacja Dźwieku - Pixel
Prezentacje/Zoom - Pixel
Realizator Kamery - Pixel
Realizator Światła - Pixel
</t>
  </si>
  <si>
    <t>Laptop Zoom</t>
  </si>
  <si>
    <t>Cyfrowy mikser audio  SQ-5</t>
  </si>
  <si>
    <t>Scena Hol Dolny</t>
  </si>
  <si>
    <t>Absen Kabinet LED PL2.5 Plus V2  (ekran 5x3m)</t>
  </si>
  <si>
    <t>Absen Kabinet LED PL2.5 Plus V2  (ekran 8x3m)</t>
  </si>
  <si>
    <t>Obsługa MCK</t>
  </si>
  <si>
    <t>Podgląd 48"</t>
  </si>
  <si>
    <t xml:space="preserve">Kamera na statywie Sony </t>
  </si>
  <si>
    <t>Cameo CL200</t>
  </si>
  <si>
    <t>Statyw oświetleniowy</t>
  </si>
  <si>
    <t>Realizacja vMix - MCK
Realizacja Dźwieku - MCK
Prezentacje/Zoom - MCK
Operator Kamery - Pixel</t>
  </si>
  <si>
    <t>Sterownik oświetlenia</t>
  </si>
  <si>
    <t xml:space="preserve">Cyfrowy mikser audio  </t>
  </si>
  <si>
    <t xml:space="preserve">Realizacja vMix - Pixel
Realizacja Dźwieku - Pixel
Ekran/Prezentacje/Zoom - Pixel
Realizator oświetlenia - Pixel
</t>
  </si>
  <si>
    <t>Koordynator</t>
  </si>
  <si>
    <t>Logistyka</t>
  </si>
  <si>
    <t>MDG Atme</t>
  </si>
  <si>
    <t>DJAK</t>
  </si>
  <si>
    <t>Brighter Xdot Wash ip</t>
  </si>
  <si>
    <t>DDJAK</t>
  </si>
  <si>
    <t>Alustage Podstawa do kratownicy 80x80 cm czarna (pod quantum)</t>
  </si>
  <si>
    <t>Wciągarka 1T + linka stalowa zabezpieczająca + steelflex</t>
  </si>
  <si>
    <t>Pixelhue P20</t>
  </si>
  <si>
    <t>Technik - montaż</t>
  </si>
  <si>
    <t>Operator kamery BC/SHD</t>
  </si>
  <si>
    <t>Realizator światła BC</t>
  </si>
  <si>
    <t>Noclegi</t>
  </si>
  <si>
    <t>Obsługa bankietu</t>
  </si>
  <si>
    <t>Realizator Vmix SW1/SW2</t>
  </si>
  <si>
    <t>Realizator Dźwięku SW1/SW2</t>
  </si>
  <si>
    <t>Realizator multimediów (Barco/Zoom) SW1/SW2</t>
  </si>
  <si>
    <t>Realizator światła SW1/SW2</t>
  </si>
  <si>
    <t>Realizator Vmix BC</t>
  </si>
  <si>
    <t>Realizator Dźwięku BC</t>
  </si>
  <si>
    <t>Realizator multimediów (Barco/Zoom) 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</si>
</sst>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zł&quot;_);[Red]\(#,##0.00\ &quot;zł&quot;\)"/>
    <numFmt numFmtId="44" formatCode="_ * #,##0.00_)\ &quot;zł&quot;_ ;_ * \(#,##0.00\)\ &quot;zł&quot;_ ;_ * &quot;-&quot;??_)\ &quot;zł&quot;_ ;_ @_ "/>
  </numFmts>
  <fonts count="9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charset val="238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44" fontId="4" fillId="0" borderId="0" applyFont="0" applyFill="0" applyBorder="0" applyAlignment="0" applyProtection="0"/>
  </cellStyleXfs>
  <cellXfs count="2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44" fontId="0" fillId="0" borderId="18" xfId="3" applyFont="1" applyBorder="1"/>
    <xf numFmtId="44" fontId="0" fillId="0" borderId="19" xfId="3" applyFont="1" applyBorder="1"/>
    <xf numFmtId="44" fontId="0" fillId="0" borderId="21" xfId="3" applyFont="1" applyBorder="1"/>
    <xf numFmtId="44" fontId="0" fillId="0" borderId="3" xfId="3" applyFont="1" applyBorder="1" applyAlignment="1">
      <alignment horizontal="center"/>
    </xf>
    <xf numFmtId="44" fontId="0" fillId="0" borderId="5" xfId="3" applyFont="1" applyBorder="1" applyAlignment="1">
      <alignment horizontal="center"/>
    </xf>
    <xf numFmtId="44" fontId="0" fillId="0" borderId="8" xfId="3" applyFont="1" applyBorder="1" applyAlignment="1">
      <alignment horizontal="center"/>
    </xf>
    <xf numFmtId="44" fontId="0" fillId="0" borderId="22" xfId="3" applyFont="1" applyBorder="1"/>
    <xf numFmtId="0" fontId="0" fillId="0" borderId="18" xfId="0" applyBorder="1" applyAlignment="1">
      <alignment horizontal="center"/>
    </xf>
    <xf numFmtId="44" fontId="0" fillId="0" borderId="1" xfId="3" applyFont="1" applyBorder="1"/>
    <xf numFmtId="0" fontId="0" fillId="0" borderId="22" xfId="0" applyBorder="1" applyAlignment="1">
      <alignment horizontal="center"/>
    </xf>
    <xf numFmtId="44" fontId="0" fillId="2" borderId="12" xfId="0" applyNumberFormat="1" applyFill="1" applyBorder="1" applyAlignment="1">
      <alignment horizontal="center"/>
    </xf>
    <xf numFmtId="0" fontId="0" fillId="0" borderId="7" xfId="0" applyBorder="1" applyAlignment="1">
      <alignment horizontal="center"/>
    </xf>
    <xf numFmtId="44" fontId="0" fillId="0" borderId="7" xfId="3" applyFont="1" applyBorder="1"/>
    <xf numFmtId="0" fontId="0" fillId="0" borderId="2" xfId="0" applyBorder="1" applyAlignment="1">
      <alignment horizontal="center"/>
    </xf>
    <xf numFmtId="44" fontId="0" fillId="0" borderId="2" xfId="3" applyFont="1" applyBorder="1"/>
    <xf numFmtId="0" fontId="0" fillId="0" borderId="18" xfId="0" applyBorder="1"/>
    <xf numFmtId="0" fontId="0" fillId="0" borderId="22" xfId="0" applyBorder="1"/>
    <xf numFmtId="0" fontId="0" fillId="0" borderId="21" xfId="0" applyBorder="1"/>
    <xf numFmtId="0" fontId="0" fillId="0" borderId="26" xfId="0" applyBorder="1"/>
    <xf numFmtId="0" fontId="0" fillId="0" borderId="17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0" xfId="0" quotePrefix="1"/>
    <xf numFmtId="0" fontId="7" fillId="0" borderId="22" xfId="0" applyFont="1" applyBorder="1" applyAlignment="1">
      <alignment horizontal="center"/>
    </xf>
    <xf numFmtId="8" fontId="7" fillId="0" borderId="22" xfId="0" applyNumberFormat="1" applyFont="1" applyBorder="1"/>
    <xf numFmtId="0" fontId="7" fillId="0" borderId="19" xfId="0" applyFont="1" applyBorder="1" applyAlignment="1">
      <alignment horizontal="center"/>
    </xf>
    <xf numFmtId="8" fontId="7" fillId="0" borderId="19" xfId="0" applyNumberFormat="1" applyFont="1" applyBorder="1"/>
    <xf numFmtId="0" fontId="7" fillId="0" borderId="20" xfId="0" applyFont="1" applyBorder="1" applyAlignment="1">
      <alignment horizontal="center"/>
    </xf>
    <xf numFmtId="8" fontId="7" fillId="0" borderId="20" xfId="0" applyNumberFormat="1" applyFont="1" applyBorder="1"/>
    <xf numFmtId="0" fontId="7" fillId="0" borderId="1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8" fontId="7" fillId="0" borderId="18" xfId="0" applyNumberFormat="1" applyFont="1" applyBorder="1"/>
    <xf numFmtId="8" fontId="7" fillId="0" borderId="1" xfId="0" applyNumberFormat="1" applyFont="1" applyBorder="1"/>
    <xf numFmtId="44" fontId="0" fillId="0" borderId="0" xfId="0" applyNumberFormat="1"/>
    <xf numFmtId="0" fontId="0" fillId="0" borderId="10" xfId="0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7" fillId="0" borderId="4" xfId="0" applyFont="1" applyBorder="1"/>
    <xf numFmtId="0" fontId="0" fillId="0" borderId="6" xfId="0" applyBorder="1"/>
    <xf numFmtId="0" fontId="0" fillId="0" borderId="25" xfId="0" applyBorder="1"/>
    <xf numFmtId="0" fontId="0" fillId="0" borderId="29" xfId="0" applyBorder="1"/>
    <xf numFmtId="0" fontId="0" fillId="0" borderId="1" xfId="0" applyBorder="1" applyAlignment="1">
      <alignment horizontal="center"/>
    </xf>
    <xf numFmtId="0" fontId="0" fillId="0" borderId="33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44" fontId="0" fillId="0" borderId="34" xfId="3" applyFont="1" applyBorder="1"/>
    <xf numFmtId="0" fontId="0" fillId="0" borderId="27" xfId="0" applyBorder="1" applyAlignment="1">
      <alignment horizontal="center" vertical="center"/>
    </xf>
    <xf numFmtId="0" fontId="7" fillId="4" borderId="2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4" fontId="0" fillId="4" borderId="1" xfId="3" applyFont="1" applyFill="1" applyBorder="1"/>
    <xf numFmtId="0" fontId="0" fillId="4" borderId="4" xfId="0" applyFill="1" applyBorder="1"/>
    <xf numFmtId="0" fontId="8" fillId="4" borderId="4" xfId="0" applyFont="1" applyFill="1" applyBorder="1"/>
    <xf numFmtId="0" fontId="7" fillId="4" borderId="1" xfId="0" applyFont="1" applyFill="1" applyBorder="1" applyAlignment="1">
      <alignment horizontal="center"/>
    </xf>
    <xf numFmtId="8" fontId="7" fillId="4" borderId="1" xfId="0" applyNumberFormat="1" applyFont="1" applyFill="1" applyBorder="1"/>
    <xf numFmtId="0" fontId="7" fillId="4" borderId="4" xfId="0" applyFont="1" applyFill="1" applyBorder="1"/>
    <xf numFmtId="0" fontId="8" fillId="0" borderId="1" xfId="0" applyFont="1" applyBorder="1" applyAlignment="1">
      <alignment horizontal="center"/>
    </xf>
    <xf numFmtId="0" fontId="0" fillId="0" borderId="36" xfId="0" applyBorder="1"/>
    <xf numFmtId="44" fontId="0" fillId="0" borderId="37" xfId="3" applyFont="1" applyBorder="1" applyAlignment="1">
      <alignment horizontal="center"/>
    </xf>
    <xf numFmtId="0" fontId="0" fillId="0" borderId="18" xfId="0" applyBorder="1" applyAlignment="1">
      <alignment horizontal="left" vertical="top"/>
    </xf>
    <xf numFmtId="0" fontId="0" fillId="4" borderId="22" xfId="0" applyFill="1" applyBorder="1"/>
    <xf numFmtId="0" fontId="7" fillId="0" borderId="21" xfId="0" applyFont="1" applyBorder="1" applyAlignment="1">
      <alignment horizontal="center"/>
    </xf>
    <xf numFmtId="8" fontId="7" fillId="0" borderId="21" xfId="0" applyNumberFormat="1" applyFont="1" applyBorder="1"/>
    <xf numFmtId="0" fontId="0" fillId="0" borderId="22" xfId="0" applyBorder="1" applyAlignment="1">
      <alignment horizontal="left" vertical="top"/>
    </xf>
    <xf numFmtId="44" fontId="0" fillId="0" borderId="38" xfId="3" applyFont="1" applyBorder="1"/>
    <xf numFmtId="0" fontId="0" fillId="0" borderId="38" xfId="0" applyBorder="1" applyAlignment="1">
      <alignment horizontal="center"/>
    </xf>
    <xf numFmtId="44" fontId="0" fillId="0" borderId="39" xfId="3" applyFont="1" applyBorder="1" applyAlignment="1">
      <alignment horizontal="center"/>
    </xf>
    <xf numFmtId="0" fontId="0" fillId="4" borderId="6" xfId="0" applyFill="1" applyBorder="1"/>
    <xf numFmtId="0" fontId="7" fillId="0" borderId="7" xfId="0" applyFont="1" applyBorder="1" applyAlignment="1">
      <alignment horizontal="center"/>
    </xf>
    <xf numFmtId="8" fontId="7" fillId="0" borderId="7" xfId="0" applyNumberFormat="1" applyFont="1" applyBorder="1"/>
    <xf numFmtId="0" fontId="0" fillId="0" borderId="44" xfId="0" applyBorder="1" applyAlignment="1">
      <alignment horizontal="center" wrapText="1"/>
    </xf>
    <xf numFmtId="0" fontId="0" fillId="0" borderId="44" xfId="0" applyBorder="1" applyAlignment="1">
      <alignment horizontal="center"/>
    </xf>
    <xf numFmtId="44" fontId="0" fillId="0" borderId="44" xfId="3" applyFont="1" applyBorder="1"/>
    <xf numFmtId="0" fontId="0" fillId="0" borderId="1" xfId="0" applyBorder="1" applyAlignment="1">
      <alignment horizontal="center" wrapText="1"/>
    </xf>
    <xf numFmtId="44" fontId="0" fillId="0" borderId="1" xfId="3" applyFont="1" applyFill="1" applyBorder="1"/>
    <xf numFmtId="0" fontId="0" fillId="0" borderId="45" xfId="0" applyBorder="1" applyAlignment="1">
      <alignment horizontal="center" wrapText="1"/>
    </xf>
    <xf numFmtId="0" fontId="0" fillId="0" borderId="45" xfId="0" applyBorder="1" applyAlignment="1">
      <alignment horizontal="center"/>
    </xf>
    <xf numFmtId="44" fontId="0" fillId="0" borderId="45" xfId="3" applyFont="1" applyFill="1" applyBorder="1"/>
    <xf numFmtId="0" fontId="0" fillId="4" borderId="1" xfId="0" applyFill="1" applyBorder="1" applyAlignment="1">
      <alignment horizontal="center" wrapText="1"/>
    </xf>
    <xf numFmtId="0" fontId="0" fillId="4" borderId="45" xfId="0" applyFill="1" applyBorder="1" applyAlignment="1">
      <alignment horizontal="center" wrapText="1"/>
    </xf>
    <xf numFmtId="0" fontId="0" fillId="4" borderId="45" xfId="0" applyFill="1" applyBorder="1" applyAlignment="1">
      <alignment horizontal="center"/>
    </xf>
    <xf numFmtId="0" fontId="0" fillId="4" borderId="46" xfId="0" applyFill="1" applyBorder="1" applyAlignment="1">
      <alignment horizontal="center" wrapText="1"/>
    </xf>
    <xf numFmtId="0" fontId="0" fillId="4" borderId="46" xfId="0" applyFill="1" applyBorder="1" applyAlignment="1">
      <alignment horizontal="center"/>
    </xf>
    <xf numFmtId="0" fontId="0" fillId="4" borderId="35" xfId="0" applyFill="1" applyBorder="1" applyAlignment="1">
      <alignment horizontal="center" wrapText="1"/>
    </xf>
    <xf numFmtId="44" fontId="0" fillId="4" borderId="45" xfId="3" applyFont="1" applyFill="1" applyBorder="1"/>
    <xf numFmtId="0" fontId="8" fillId="4" borderId="1" xfId="0" applyFont="1" applyFill="1" applyBorder="1" applyAlignment="1">
      <alignment horizontal="center"/>
    </xf>
    <xf numFmtId="44" fontId="8" fillId="4" borderId="1" xfId="0" applyNumberFormat="1" applyFont="1" applyFill="1" applyBorder="1"/>
    <xf numFmtId="0" fontId="8" fillId="0" borderId="7" xfId="0" applyFont="1" applyBorder="1" applyAlignment="1">
      <alignment horizontal="center"/>
    </xf>
    <xf numFmtId="44" fontId="8" fillId="0" borderId="7" xfId="0" applyNumberFormat="1" applyFont="1" applyBorder="1"/>
    <xf numFmtId="0" fontId="7" fillId="4" borderId="47" xfId="0" applyFont="1" applyFill="1" applyBorder="1" applyAlignment="1">
      <alignment wrapText="1"/>
    </xf>
    <xf numFmtId="44" fontId="0" fillId="0" borderId="48" xfId="3" applyFont="1" applyBorder="1" applyAlignment="1">
      <alignment horizontal="center"/>
    </xf>
    <xf numFmtId="0" fontId="0" fillId="4" borderId="49" xfId="0" applyFill="1" applyBorder="1"/>
    <xf numFmtId="44" fontId="0" fillId="0" borderId="5" xfId="3" applyFont="1" applyFill="1" applyBorder="1" applyAlignment="1">
      <alignment horizontal="center"/>
    </xf>
    <xf numFmtId="0" fontId="0" fillId="4" borderId="13" xfId="0" applyFill="1" applyBorder="1"/>
    <xf numFmtId="44" fontId="0" fillId="4" borderId="5" xfId="3" applyFont="1" applyFill="1" applyBorder="1" applyAlignment="1">
      <alignment horizontal="center"/>
    </xf>
    <xf numFmtId="44" fontId="0" fillId="4" borderId="28" xfId="3" applyFont="1" applyFill="1" applyBorder="1" applyAlignment="1">
      <alignment horizontal="center"/>
    </xf>
    <xf numFmtId="0" fontId="8" fillId="4" borderId="4" xfId="0" applyFont="1" applyFill="1" applyBorder="1" applyAlignment="1">
      <alignment wrapText="1"/>
    </xf>
    <xf numFmtId="0" fontId="8" fillId="4" borderId="6" xfId="0" applyFont="1" applyFill="1" applyBorder="1"/>
    <xf numFmtId="0" fontId="0" fillId="0" borderId="7" xfId="0" applyBorder="1" applyAlignment="1">
      <alignment horizontal="center" wrapText="1"/>
    </xf>
    <xf numFmtId="0" fontId="0" fillId="4" borderId="50" xfId="0" applyFill="1" applyBorder="1"/>
    <xf numFmtId="0" fontId="0" fillId="0" borderId="40" xfId="0" applyBorder="1" applyAlignment="1">
      <alignment horizontal="center" wrapText="1"/>
    </xf>
    <xf numFmtId="0" fontId="0" fillId="0" borderId="40" xfId="0" applyBorder="1" applyAlignment="1">
      <alignment horizontal="center"/>
    </xf>
    <xf numFmtId="44" fontId="0" fillId="0" borderId="35" xfId="3" applyFont="1" applyBorder="1"/>
    <xf numFmtId="44" fontId="0" fillId="0" borderId="28" xfId="3" applyFont="1" applyBorder="1" applyAlignment="1">
      <alignment horizontal="center"/>
    </xf>
    <xf numFmtId="0" fontId="0" fillId="4" borderId="29" xfId="0" applyFill="1" applyBorder="1"/>
    <xf numFmtId="0" fontId="0" fillId="0" borderId="38" xfId="0" applyBorder="1" applyAlignment="1">
      <alignment horizontal="center" wrapText="1"/>
    </xf>
    <xf numFmtId="0" fontId="0" fillId="4" borderId="40" xfId="0" applyFill="1" applyBorder="1" applyAlignment="1">
      <alignment horizontal="center" wrapText="1"/>
    </xf>
    <xf numFmtId="0" fontId="0" fillId="4" borderId="51" xfId="0" applyFill="1" applyBorder="1" applyAlignment="1">
      <alignment horizontal="center"/>
    </xf>
    <xf numFmtId="44" fontId="0" fillId="4" borderId="40" xfId="3" applyFont="1" applyFill="1" applyBorder="1"/>
    <xf numFmtId="0" fontId="0" fillId="4" borderId="40" xfId="0" applyFill="1" applyBorder="1" applyAlignment="1">
      <alignment horizontal="center"/>
    </xf>
    <xf numFmtId="44" fontId="0" fillId="4" borderId="52" xfId="3" applyFont="1" applyFill="1" applyBorder="1" applyAlignment="1">
      <alignment horizontal="center"/>
    </xf>
    <xf numFmtId="0" fontId="0" fillId="4" borderId="25" xfId="0" applyFill="1" applyBorder="1"/>
    <xf numFmtId="0" fontId="0" fillId="4" borderId="2" xfId="0" applyFill="1" applyBorder="1" applyAlignment="1">
      <alignment horizontal="center" wrapText="1"/>
    </xf>
    <xf numFmtId="0" fontId="8" fillId="4" borderId="2" xfId="0" applyFont="1" applyFill="1" applyBorder="1" applyAlignment="1">
      <alignment horizontal="center"/>
    </xf>
    <xf numFmtId="44" fontId="8" fillId="4" borderId="2" xfId="0" applyNumberFormat="1" applyFont="1" applyFill="1" applyBorder="1"/>
    <xf numFmtId="44" fontId="0" fillId="4" borderId="2" xfId="3" applyFont="1" applyFill="1" applyBorder="1"/>
    <xf numFmtId="0" fontId="0" fillId="4" borderId="2" xfId="0" applyFill="1" applyBorder="1" applyAlignment="1">
      <alignment horizontal="center"/>
    </xf>
    <xf numFmtId="44" fontId="0" fillId="4" borderId="3" xfId="3" applyFont="1" applyFill="1" applyBorder="1" applyAlignment="1">
      <alignment horizontal="center"/>
    </xf>
    <xf numFmtId="0" fontId="0" fillId="0" borderId="53" xfId="0" applyBorder="1"/>
    <xf numFmtId="0" fontId="0" fillId="0" borderId="53" xfId="0" applyBorder="1" applyAlignment="1">
      <alignment horizontal="center"/>
    </xf>
    <xf numFmtId="44" fontId="0" fillId="0" borderId="53" xfId="3" applyFont="1" applyBorder="1"/>
    <xf numFmtId="44" fontId="0" fillId="0" borderId="7" xfId="3" applyFont="1" applyFill="1" applyBorder="1"/>
    <xf numFmtId="0" fontId="0" fillId="0" borderId="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8" fillId="0" borderId="54" xfId="0" applyFont="1" applyBorder="1"/>
    <xf numFmtId="0" fontId="0" fillId="0" borderId="55" xfId="0" applyBorder="1" applyAlignment="1">
      <alignment horizontal="center"/>
    </xf>
    <xf numFmtId="44" fontId="0" fillId="0" borderId="55" xfId="3" applyFont="1" applyFill="1" applyBorder="1"/>
    <xf numFmtId="44" fontId="0" fillId="0" borderId="55" xfId="3" applyFont="1" applyBorder="1"/>
    <xf numFmtId="44" fontId="0" fillId="0" borderId="56" xfId="3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43" xfId="0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44" fontId="6" fillId="3" borderId="14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8" fontId="7" fillId="2" borderId="2" xfId="0" applyNumberFormat="1" applyFont="1" applyFill="1" applyBorder="1"/>
    <xf numFmtId="44" fontId="0" fillId="2" borderId="1" xfId="3" applyFont="1" applyFill="1" applyBorder="1"/>
    <xf numFmtId="44" fontId="0" fillId="2" borderId="40" xfId="3" applyFont="1" applyFill="1" applyBorder="1"/>
    <xf numFmtId="0" fontId="0" fillId="2" borderId="49" xfId="0" applyFill="1" applyBorder="1"/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8" fontId="7" fillId="2" borderId="1" xfId="0" applyNumberFormat="1" applyFont="1" applyFill="1" applyBorder="1"/>
    <xf numFmtId="44" fontId="0" fillId="2" borderId="5" xfId="3" applyFont="1" applyFill="1" applyBorder="1" applyAlignment="1">
      <alignment horizontal="center"/>
    </xf>
    <xf numFmtId="0" fontId="7" fillId="2" borderId="4" xfId="0" applyFont="1" applyFill="1" applyBorder="1"/>
    <xf numFmtId="44" fontId="0" fillId="2" borderId="44" xfId="3" applyFont="1" applyFill="1" applyBorder="1"/>
    <xf numFmtId="44" fontId="8" fillId="2" borderId="1" xfId="0" applyNumberFormat="1" applyFont="1" applyFill="1" applyBorder="1"/>
    <xf numFmtId="44" fontId="0" fillId="2" borderId="38" xfId="3" applyFont="1" applyFill="1" applyBorder="1"/>
    <xf numFmtId="0" fontId="0" fillId="2" borderId="1" xfId="0" applyFill="1" applyBorder="1" applyAlignment="1">
      <alignment horizontal="center" wrapText="1"/>
    </xf>
    <xf numFmtId="0" fontId="8" fillId="2" borderId="1" xfId="0" applyFont="1" applyFill="1" applyBorder="1" applyAlignment="1">
      <alignment horizontal="center"/>
    </xf>
    <xf numFmtId="0" fontId="7" fillId="2" borderId="13" xfId="0" applyFont="1" applyFill="1" applyBorder="1"/>
    <xf numFmtId="0" fontId="0" fillId="2" borderId="45" xfId="0" applyFill="1" applyBorder="1" applyAlignment="1">
      <alignment horizontal="center" wrapText="1"/>
    </xf>
    <xf numFmtId="0" fontId="8" fillId="2" borderId="45" xfId="0" applyFont="1" applyFill="1" applyBorder="1" applyAlignment="1">
      <alignment horizontal="center"/>
    </xf>
    <xf numFmtId="44" fontId="8" fillId="2" borderId="45" xfId="0" applyNumberFormat="1" applyFont="1" applyFill="1" applyBorder="1"/>
    <xf numFmtId="44" fontId="0" fillId="2" borderId="45" xfId="3" applyFont="1" applyFill="1" applyBorder="1"/>
    <xf numFmtId="0" fontId="0" fillId="2" borderId="45" xfId="0" applyFill="1" applyBorder="1" applyAlignment="1">
      <alignment horizontal="center"/>
    </xf>
    <xf numFmtId="44" fontId="0" fillId="2" borderId="28" xfId="3" applyFont="1" applyFill="1" applyBorder="1" applyAlignment="1">
      <alignment horizontal="center"/>
    </xf>
    <xf numFmtId="0" fontId="0" fillId="2" borderId="40" xfId="0" applyFill="1" applyBorder="1" applyAlignment="1">
      <alignment horizontal="center" wrapText="1"/>
    </xf>
    <xf numFmtId="0" fontId="0" fillId="0" borderId="57" xfId="0" applyBorder="1" applyAlignment="1">
      <alignment horizontal="left" vertical="top"/>
    </xf>
    <xf numFmtId="0" fontId="0" fillId="0" borderId="58" xfId="0" applyBorder="1" applyAlignment="1">
      <alignment horizontal="left" vertical="top"/>
    </xf>
    <xf numFmtId="0" fontId="7" fillId="4" borderId="59" xfId="0" applyFont="1" applyFill="1" applyBorder="1"/>
    <xf numFmtId="0" fontId="7" fillId="0" borderId="59" xfId="0" applyFont="1" applyBorder="1"/>
    <xf numFmtId="0" fontId="7" fillId="0" borderId="58" xfId="0" applyFont="1" applyBorder="1"/>
    <xf numFmtId="0" fontId="7" fillId="0" borderId="35" xfId="0" applyFont="1" applyBorder="1"/>
    <xf numFmtId="0" fontId="7" fillId="0" borderId="60" xfId="0" applyFont="1" applyBorder="1"/>
    <xf numFmtId="0" fontId="0" fillId="0" borderId="32" xfId="0" applyBorder="1" applyAlignment="1">
      <alignment horizontal="center" vertical="center"/>
    </xf>
    <xf numFmtId="0" fontId="8" fillId="0" borderId="25" xfId="0" applyFont="1" applyBorder="1"/>
    <xf numFmtId="44" fontId="0" fillId="0" borderId="2" xfId="3" applyFont="1" applyFill="1" applyBorder="1"/>
  </cellXfs>
  <cellStyles count="4">
    <cellStyle name="Hiperłącze" xfId="1" builtinId="8" hidden="1"/>
    <cellStyle name="Normalny" xfId="0" builtinId="0"/>
    <cellStyle name="Odwiedzone hiperłącze" xfId="2" builtinId="9" hidden="1"/>
    <cellStyle name="Walutowy" xfId="3" builtinId="4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99"/>
  <sheetViews>
    <sheetView showGridLines="0" tabSelected="1" zoomScale="120" zoomScaleNormal="120" workbookViewId="0">
      <selection activeCell="K168" sqref="K168"/>
    </sheetView>
  </sheetViews>
  <sheetFormatPr baseColWidth="10" defaultColWidth="11" defaultRowHeight="16" x14ac:dyDescent="0.2"/>
  <cols>
    <col min="1" max="1" width="8.5" customWidth="1"/>
    <col min="3" max="3" width="14.5" customWidth="1"/>
    <col min="4" max="4" width="52.6640625" bestFit="1" customWidth="1"/>
    <col min="5" max="5" width="6.83203125" customWidth="1"/>
    <col min="6" max="6" width="7" bestFit="1" customWidth="1"/>
    <col min="7" max="7" width="7.5" bestFit="1" customWidth="1"/>
    <col min="8" max="8" width="15.83203125" customWidth="1"/>
    <col min="9" max="9" width="17.5" customWidth="1"/>
    <col min="10" max="10" width="7.5" bestFit="1" customWidth="1"/>
    <col min="11" max="11" width="13.83203125" bestFit="1" customWidth="1"/>
    <col min="12" max="12" width="32" customWidth="1"/>
    <col min="15" max="15" width="12.5" bestFit="1" customWidth="1"/>
  </cols>
  <sheetData>
    <row r="2" spans="2:12" ht="17" thickBot="1" x14ac:dyDescent="0.25"/>
    <row r="3" spans="2:12" ht="31" thickBot="1" x14ac:dyDescent="0.25">
      <c r="B3" s="135" t="s">
        <v>48</v>
      </c>
      <c r="C3" s="136"/>
      <c r="D3" s="136"/>
      <c r="E3" s="53" t="s">
        <v>21</v>
      </c>
      <c r="F3" s="43" t="s">
        <v>1</v>
      </c>
      <c r="G3" s="43" t="s">
        <v>2</v>
      </c>
      <c r="H3" s="43" t="s">
        <v>3</v>
      </c>
      <c r="I3" s="43" t="s">
        <v>4</v>
      </c>
      <c r="J3" s="43" t="s">
        <v>5</v>
      </c>
      <c r="K3" s="43" t="s">
        <v>6</v>
      </c>
      <c r="L3" s="28" t="s">
        <v>23</v>
      </c>
    </row>
    <row r="4" spans="2:12" ht="17" customHeight="1" thickBot="1" x14ac:dyDescent="0.25">
      <c r="B4" s="137" t="s">
        <v>34</v>
      </c>
      <c r="C4" s="138"/>
      <c r="D4" s="159" t="s">
        <v>49</v>
      </c>
      <c r="E4" s="160"/>
      <c r="F4" s="160"/>
      <c r="G4" s="160"/>
      <c r="H4" s="160"/>
      <c r="I4" s="160"/>
      <c r="J4" s="160"/>
      <c r="K4" s="161"/>
      <c r="L4" s="143" t="s">
        <v>95</v>
      </c>
    </row>
    <row r="5" spans="2:12" ht="17" customHeight="1" x14ac:dyDescent="0.2">
      <c r="B5" s="139"/>
      <c r="C5" s="140"/>
      <c r="D5" s="95" t="s">
        <v>86</v>
      </c>
      <c r="E5" s="21" t="s">
        <v>22</v>
      </c>
      <c r="F5" s="38">
        <v>96</v>
      </c>
      <c r="G5" s="38">
        <v>3</v>
      </c>
      <c r="H5" s="179">
        <v>100</v>
      </c>
      <c r="I5" s="22">
        <f>F5*G5*H5</f>
        <v>28800</v>
      </c>
      <c r="J5" s="21">
        <v>35</v>
      </c>
      <c r="K5" s="11">
        <f>(F5*G5*H5)*((100-J5)/100)</f>
        <v>18720</v>
      </c>
      <c r="L5" s="154"/>
    </row>
    <row r="6" spans="2:12" ht="17" x14ac:dyDescent="0.2">
      <c r="B6" s="139"/>
      <c r="C6" s="140"/>
      <c r="D6" s="61" t="s">
        <v>53</v>
      </c>
      <c r="E6" s="79" t="s">
        <v>22</v>
      </c>
      <c r="F6" s="79">
        <v>1</v>
      </c>
      <c r="G6" s="79">
        <v>3</v>
      </c>
      <c r="H6" s="16">
        <v>800</v>
      </c>
      <c r="I6" s="16">
        <f t="shared" ref="I6:I12" si="0">F6*G6*H6</f>
        <v>2400</v>
      </c>
      <c r="J6" s="48">
        <v>35</v>
      </c>
      <c r="K6" s="12">
        <f t="shared" ref="K6:K12" si="1">(F6*G6*H6)*((100-J6)/100)</f>
        <v>1560</v>
      </c>
      <c r="L6" s="154"/>
    </row>
    <row r="7" spans="2:12" ht="17" x14ac:dyDescent="0.2">
      <c r="B7" s="139"/>
      <c r="C7" s="140"/>
      <c r="D7" s="97" t="s">
        <v>54</v>
      </c>
      <c r="E7" s="79" t="s">
        <v>22</v>
      </c>
      <c r="F7" s="79">
        <v>1</v>
      </c>
      <c r="G7" s="79">
        <v>3</v>
      </c>
      <c r="H7" s="180">
        <v>70</v>
      </c>
      <c r="I7" s="16">
        <f t="shared" si="0"/>
        <v>210</v>
      </c>
      <c r="J7" s="48">
        <v>35</v>
      </c>
      <c r="K7" s="12">
        <f t="shared" si="1"/>
        <v>136.5</v>
      </c>
      <c r="L7" s="154"/>
    </row>
    <row r="8" spans="2:12" ht="17" x14ac:dyDescent="0.2">
      <c r="B8" s="139"/>
      <c r="C8" s="140"/>
      <c r="D8" s="97" t="s">
        <v>55</v>
      </c>
      <c r="E8" s="79" t="s">
        <v>22</v>
      </c>
      <c r="F8" s="79">
        <v>1</v>
      </c>
      <c r="G8" s="79">
        <v>3</v>
      </c>
      <c r="H8" s="16">
        <v>475</v>
      </c>
      <c r="I8" s="16">
        <f t="shared" si="0"/>
        <v>1425</v>
      </c>
      <c r="J8" s="48">
        <v>35</v>
      </c>
      <c r="K8" s="12">
        <f t="shared" si="1"/>
        <v>926.25</v>
      </c>
      <c r="L8" s="154"/>
    </row>
    <row r="9" spans="2:12" ht="17" x14ac:dyDescent="0.2">
      <c r="B9" s="139"/>
      <c r="C9" s="140"/>
      <c r="D9" s="61" t="s">
        <v>56</v>
      </c>
      <c r="E9" s="79" t="s">
        <v>22</v>
      </c>
      <c r="F9" s="79">
        <v>6</v>
      </c>
      <c r="G9" s="79">
        <v>3</v>
      </c>
      <c r="H9" s="16">
        <v>80</v>
      </c>
      <c r="I9" s="16">
        <f t="shared" si="0"/>
        <v>1440</v>
      </c>
      <c r="J9" s="48">
        <v>35</v>
      </c>
      <c r="K9" s="12">
        <f t="shared" si="1"/>
        <v>936</v>
      </c>
      <c r="L9" s="154"/>
    </row>
    <row r="10" spans="2:12" ht="17" x14ac:dyDescent="0.2">
      <c r="B10" s="139"/>
      <c r="C10" s="140"/>
      <c r="D10" s="61" t="s">
        <v>57</v>
      </c>
      <c r="E10" s="79" t="s">
        <v>22</v>
      </c>
      <c r="F10" s="79">
        <v>6</v>
      </c>
      <c r="G10" s="79">
        <v>3</v>
      </c>
      <c r="H10" s="16">
        <v>40</v>
      </c>
      <c r="I10" s="16">
        <f t="shared" si="0"/>
        <v>720</v>
      </c>
      <c r="J10" s="48">
        <v>35</v>
      </c>
      <c r="K10" s="12">
        <f t="shared" si="1"/>
        <v>468</v>
      </c>
      <c r="L10" s="154"/>
    </row>
    <row r="11" spans="2:12" ht="17" x14ac:dyDescent="0.2">
      <c r="B11" s="139"/>
      <c r="C11" s="140"/>
      <c r="D11" s="61" t="s">
        <v>58</v>
      </c>
      <c r="E11" s="79" t="s">
        <v>22</v>
      </c>
      <c r="F11" s="79">
        <v>6</v>
      </c>
      <c r="G11" s="79">
        <v>3</v>
      </c>
      <c r="H11" s="16">
        <v>45</v>
      </c>
      <c r="I11" s="16">
        <f t="shared" si="0"/>
        <v>810</v>
      </c>
      <c r="J11" s="48">
        <v>35</v>
      </c>
      <c r="K11" s="12">
        <f t="shared" si="1"/>
        <v>526.5</v>
      </c>
      <c r="L11" s="154"/>
    </row>
    <row r="12" spans="2:12" ht="17" x14ac:dyDescent="0.2">
      <c r="B12" s="139"/>
      <c r="C12" s="140"/>
      <c r="D12" s="105" t="s">
        <v>65</v>
      </c>
      <c r="E12" s="106" t="s">
        <v>22</v>
      </c>
      <c r="F12" s="107">
        <v>20</v>
      </c>
      <c r="G12" s="106">
        <v>3</v>
      </c>
      <c r="H12" s="181">
        <v>2.5</v>
      </c>
      <c r="I12" s="108">
        <f t="shared" si="0"/>
        <v>150</v>
      </c>
      <c r="J12" s="82">
        <v>35</v>
      </c>
      <c r="K12" s="109">
        <f t="shared" si="1"/>
        <v>97.5</v>
      </c>
      <c r="L12" s="154"/>
    </row>
    <row r="13" spans="2:12" x14ac:dyDescent="0.2">
      <c r="B13" s="139"/>
      <c r="C13" s="140"/>
      <c r="D13" s="182" t="s">
        <v>59</v>
      </c>
      <c r="E13" s="183" t="s">
        <v>22</v>
      </c>
      <c r="F13" s="184">
        <v>1</v>
      </c>
      <c r="G13" s="184">
        <v>3</v>
      </c>
      <c r="H13" s="185">
        <v>1400</v>
      </c>
      <c r="I13" s="180">
        <f t="shared" ref="I13:I40" si="2">F13*G13*H13</f>
        <v>4200</v>
      </c>
      <c r="J13" s="183">
        <v>35</v>
      </c>
      <c r="K13" s="186">
        <f t="shared" ref="K13:K40" si="3">(F13*G13*H13)*((100-J13)/100)</f>
        <v>2730</v>
      </c>
      <c r="L13" s="154"/>
    </row>
    <row r="14" spans="2:12" x14ac:dyDescent="0.2">
      <c r="B14" s="139"/>
      <c r="C14" s="140"/>
      <c r="D14" s="44" t="s">
        <v>43</v>
      </c>
      <c r="E14" s="48" t="s">
        <v>22</v>
      </c>
      <c r="F14" s="36">
        <v>1</v>
      </c>
      <c r="G14" s="36">
        <v>3</v>
      </c>
      <c r="H14" s="40">
        <v>1300</v>
      </c>
      <c r="I14" s="16">
        <f t="shared" si="2"/>
        <v>3900</v>
      </c>
      <c r="J14" s="48">
        <v>35</v>
      </c>
      <c r="K14" s="12">
        <f t="shared" si="3"/>
        <v>2535</v>
      </c>
      <c r="L14" s="154"/>
    </row>
    <row r="15" spans="2:12" x14ac:dyDescent="0.2">
      <c r="B15" s="139"/>
      <c r="C15" s="140"/>
      <c r="D15" s="44" t="s">
        <v>0</v>
      </c>
      <c r="E15" s="48" t="s">
        <v>22</v>
      </c>
      <c r="F15" s="36">
        <v>1</v>
      </c>
      <c r="G15" s="36">
        <v>3</v>
      </c>
      <c r="H15" s="40">
        <v>1000</v>
      </c>
      <c r="I15" s="16">
        <f t="shared" si="2"/>
        <v>3000</v>
      </c>
      <c r="J15" s="48">
        <v>35</v>
      </c>
      <c r="K15" s="12">
        <f t="shared" si="3"/>
        <v>1950</v>
      </c>
      <c r="L15" s="154"/>
    </row>
    <row r="16" spans="2:12" ht="17" x14ac:dyDescent="0.2">
      <c r="B16" s="139"/>
      <c r="C16" s="140"/>
      <c r="D16" s="44" t="s">
        <v>41</v>
      </c>
      <c r="E16" s="79" t="s">
        <v>22</v>
      </c>
      <c r="F16" s="36">
        <v>1</v>
      </c>
      <c r="G16" s="36">
        <v>3</v>
      </c>
      <c r="H16" s="40">
        <v>200</v>
      </c>
      <c r="I16" s="16">
        <f t="shared" si="2"/>
        <v>600</v>
      </c>
      <c r="J16" s="48">
        <v>35</v>
      </c>
      <c r="K16" s="12">
        <f t="shared" si="3"/>
        <v>390</v>
      </c>
      <c r="L16" s="154"/>
    </row>
    <row r="17" spans="2:15" ht="17" x14ac:dyDescent="0.2">
      <c r="B17" s="139"/>
      <c r="C17" s="140"/>
      <c r="D17" s="44" t="s">
        <v>8</v>
      </c>
      <c r="E17" s="79" t="s">
        <v>22</v>
      </c>
      <c r="F17" s="36">
        <v>2</v>
      </c>
      <c r="G17" s="36">
        <v>3</v>
      </c>
      <c r="H17" s="40">
        <v>200</v>
      </c>
      <c r="I17" s="16">
        <f t="shared" si="2"/>
        <v>1200</v>
      </c>
      <c r="J17" s="48">
        <v>35</v>
      </c>
      <c r="K17" s="12">
        <f t="shared" si="3"/>
        <v>780</v>
      </c>
      <c r="L17" s="154"/>
      <c r="O17" s="41"/>
    </row>
    <row r="18" spans="2:15" ht="17" x14ac:dyDescent="0.2">
      <c r="B18" s="139"/>
      <c r="C18" s="140"/>
      <c r="D18" s="44" t="s">
        <v>11</v>
      </c>
      <c r="E18" s="79" t="s">
        <v>22</v>
      </c>
      <c r="F18" s="36">
        <v>1</v>
      </c>
      <c r="G18" s="36">
        <v>3</v>
      </c>
      <c r="H18" s="40">
        <v>50</v>
      </c>
      <c r="I18" s="16">
        <f t="shared" si="2"/>
        <v>150</v>
      </c>
      <c r="J18" s="48">
        <v>35</v>
      </c>
      <c r="K18" s="12">
        <f t="shared" si="3"/>
        <v>97.5</v>
      </c>
      <c r="L18" s="154"/>
      <c r="O18" s="41"/>
    </row>
    <row r="19" spans="2:15" ht="17" x14ac:dyDescent="0.2">
      <c r="B19" s="139"/>
      <c r="C19" s="140"/>
      <c r="D19" s="44" t="s">
        <v>30</v>
      </c>
      <c r="E19" s="79" t="s">
        <v>22</v>
      </c>
      <c r="F19" s="36">
        <v>1</v>
      </c>
      <c r="G19" s="36">
        <v>3</v>
      </c>
      <c r="H19" s="185">
        <v>200</v>
      </c>
      <c r="I19" s="16">
        <f t="shared" si="2"/>
        <v>600</v>
      </c>
      <c r="J19" s="48">
        <v>35</v>
      </c>
      <c r="K19" s="12">
        <f t="shared" si="3"/>
        <v>390</v>
      </c>
      <c r="L19" s="154"/>
    </row>
    <row r="20" spans="2:15" ht="17" x14ac:dyDescent="0.2">
      <c r="B20" s="139"/>
      <c r="C20" s="140"/>
      <c r="D20" s="44" t="s">
        <v>44</v>
      </c>
      <c r="E20" s="79" t="s">
        <v>22</v>
      </c>
      <c r="F20" s="36">
        <v>1</v>
      </c>
      <c r="G20" s="36">
        <v>3</v>
      </c>
      <c r="H20" s="185">
        <v>400</v>
      </c>
      <c r="I20" s="16">
        <f t="shared" si="2"/>
        <v>1200</v>
      </c>
      <c r="J20" s="48">
        <v>35</v>
      </c>
      <c r="K20" s="12">
        <f t="shared" si="3"/>
        <v>780</v>
      </c>
      <c r="L20" s="154"/>
    </row>
    <row r="21" spans="2:15" ht="17" x14ac:dyDescent="0.2">
      <c r="B21" s="139"/>
      <c r="C21" s="140"/>
      <c r="D21" s="44" t="s">
        <v>31</v>
      </c>
      <c r="E21" s="79" t="s">
        <v>22</v>
      </c>
      <c r="F21" s="36">
        <v>1</v>
      </c>
      <c r="G21" s="36">
        <v>3</v>
      </c>
      <c r="H21" s="185">
        <v>500</v>
      </c>
      <c r="I21" s="16">
        <f t="shared" si="2"/>
        <v>1500</v>
      </c>
      <c r="J21" s="48">
        <v>35</v>
      </c>
      <c r="K21" s="12">
        <f t="shared" si="3"/>
        <v>975</v>
      </c>
      <c r="L21" s="154"/>
    </row>
    <row r="22" spans="2:15" ht="17" x14ac:dyDescent="0.2">
      <c r="B22" s="139"/>
      <c r="C22" s="140"/>
      <c r="D22" s="44" t="s">
        <v>10</v>
      </c>
      <c r="E22" s="79" t="s">
        <v>22</v>
      </c>
      <c r="F22" s="36">
        <v>1</v>
      </c>
      <c r="G22" s="36">
        <v>3</v>
      </c>
      <c r="H22" s="185">
        <v>50</v>
      </c>
      <c r="I22" s="16">
        <f t="shared" si="2"/>
        <v>150</v>
      </c>
      <c r="J22" s="48">
        <v>35</v>
      </c>
      <c r="K22" s="12">
        <f t="shared" si="3"/>
        <v>97.5</v>
      </c>
      <c r="L22" s="154"/>
    </row>
    <row r="23" spans="2:15" ht="17" x14ac:dyDescent="0.2">
      <c r="B23" s="139"/>
      <c r="C23" s="140"/>
      <c r="D23" s="44" t="s">
        <v>18</v>
      </c>
      <c r="E23" s="79" t="s">
        <v>22</v>
      </c>
      <c r="F23" s="36">
        <v>1</v>
      </c>
      <c r="G23" s="36">
        <v>3</v>
      </c>
      <c r="H23" s="185">
        <v>60</v>
      </c>
      <c r="I23" s="16">
        <f t="shared" si="2"/>
        <v>180</v>
      </c>
      <c r="J23" s="48">
        <v>35</v>
      </c>
      <c r="K23" s="12">
        <f t="shared" si="3"/>
        <v>117</v>
      </c>
      <c r="L23" s="154"/>
    </row>
    <row r="24" spans="2:15" ht="17" x14ac:dyDescent="0.2">
      <c r="B24" s="139"/>
      <c r="C24" s="140"/>
      <c r="D24" s="44" t="s">
        <v>19</v>
      </c>
      <c r="E24" s="79" t="s">
        <v>22</v>
      </c>
      <c r="F24" s="36">
        <v>1</v>
      </c>
      <c r="G24" s="36">
        <v>3</v>
      </c>
      <c r="H24" s="40">
        <v>45</v>
      </c>
      <c r="I24" s="16">
        <f t="shared" si="2"/>
        <v>135</v>
      </c>
      <c r="J24" s="48">
        <v>35</v>
      </c>
      <c r="K24" s="12">
        <f t="shared" si="3"/>
        <v>87.75</v>
      </c>
      <c r="L24" s="154"/>
    </row>
    <row r="25" spans="2:15" ht="18" thickBot="1" x14ac:dyDescent="0.25">
      <c r="B25" s="139"/>
      <c r="C25" s="140"/>
      <c r="D25" s="44" t="s">
        <v>20</v>
      </c>
      <c r="E25" s="79" t="s">
        <v>22</v>
      </c>
      <c r="F25" s="36">
        <v>1</v>
      </c>
      <c r="G25" s="36">
        <v>3</v>
      </c>
      <c r="H25" s="40">
        <v>200</v>
      </c>
      <c r="I25" s="16">
        <f t="shared" ref="I25" si="4">F25*G25*H25</f>
        <v>600</v>
      </c>
      <c r="J25" s="48">
        <v>35</v>
      </c>
      <c r="K25" s="12">
        <f t="shared" ref="K25" si="5">(F25*G25*H25)*((100-J25)/100)</f>
        <v>390</v>
      </c>
      <c r="L25" s="154"/>
    </row>
    <row r="26" spans="2:15" ht="17" thickBot="1" x14ac:dyDescent="0.25">
      <c r="B26" s="139"/>
      <c r="C26" s="140"/>
      <c r="D26" s="159" t="s">
        <v>50</v>
      </c>
      <c r="E26" s="160"/>
      <c r="F26" s="160"/>
      <c r="G26" s="160"/>
      <c r="H26" s="160"/>
      <c r="I26" s="160"/>
      <c r="J26" s="160"/>
      <c r="K26" s="161"/>
      <c r="L26" s="154"/>
    </row>
    <row r="27" spans="2:15" ht="17" x14ac:dyDescent="0.2">
      <c r="B27" s="139"/>
      <c r="C27" s="140"/>
      <c r="D27" s="44" t="s">
        <v>13</v>
      </c>
      <c r="E27" s="79" t="s">
        <v>22</v>
      </c>
      <c r="F27" s="36">
        <v>1</v>
      </c>
      <c r="G27" s="36">
        <v>3</v>
      </c>
      <c r="H27" s="40">
        <v>550</v>
      </c>
      <c r="I27" s="16">
        <f t="shared" si="2"/>
        <v>1650</v>
      </c>
      <c r="J27" s="48">
        <v>35</v>
      </c>
      <c r="K27" s="12">
        <f t="shared" si="3"/>
        <v>1072.5</v>
      </c>
      <c r="L27" s="154"/>
    </row>
    <row r="28" spans="2:15" ht="17" x14ac:dyDescent="0.2">
      <c r="B28" s="139"/>
      <c r="C28" s="140"/>
      <c r="D28" s="44" t="s">
        <v>9</v>
      </c>
      <c r="E28" s="79" t="s">
        <v>22</v>
      </c>
      <c r="F28" s="36">
        <v>6</v>
      </c>
      <c r="G28" s="36">
        <v>3</v>
      </c>
      <c r="H28" s="40">
        <v>200</v>
      </c>
      <c r="I28" s="16">
        <f t="shared" si="2"/>
        <v>3600</v>
      </c>
      <c r="J28" s="48">
        <v>35</v>
      </c>
      <c r="K28" s="12">
        <f t="shared" si="3"/>
        <v>2340</v>
      </c>
      <c r="L28" s="154"/>
    </row>
    <row r="29" spans="2:15" ht="17" x14ac:dyDescent="0.2">
      <c r="B29" s="139"/>
      <c r="C29" s="140"/>
      <c r="D29" s="44" t="s">
        <v>12</v>
      </c>
      <c r="E29" s="79" t="s">
        <v>22</v>
      </c>
      <c r="F29" s="36">
        <v>2</v>
      </c>
      <c r="G29" s="36">
        <v>3</v>
      </c>
      <c r="H29" s="40">
        <v>75</v>
      </c>
      <c r="I29" s="16">
        <f t="shared" si="2"/>
        <v>450</v>
      </c>
      <c r="J29" s="48">
        <v>35</v>
      </c>
      <c r="K29" s="12">
        <f t="shared" si="3"/>
        <v>292.5</v>
      </c>
      <c r="L29" s="154"/>
    </row>
    <row r="30" spans="2:15" ht="17" x14ac:dyDescent="0.2">
      <c r="B30" s="139"/>
      <c r="C30" s="140"/>
      <c r="D30" s="44" t="s">
        <v>25</v>
      </c>
      <c r="E30" s="79" t="s">
        <v>22</v>
      </c>
      <c r="F30" s="36">
        <v>4</v>
      </c>
      <c r="G30" s="36">
        <v>3</v>
      </c>
      <c r="H30" s="40">
        <v>200</v>
      </c>
      <c r="I30" s="16">
        <f t="shared" si="2"/>
        <v>2400</v>
      </c>
      <c r="J30" s="48">
        <v>35</v>
      </c>
      <c r="K30" s="12">
        <f t="shared" si="3"/>
        <v>1560</v>
      </c>
      <c r="L30" s="154"/>
    </row>
    <row r="31" spans="2:15" ht="18" thickBot="1" x14ac:dyDescent="0.25">
      <c r="B31" s="139"/>
      <c r="C31" s="140"/>
      <c r="D31" s="44" t="s">
        <v>32</v>
      </c>
      <c r="E31" s="79" t="s">
        <v>22</v>
      </c>
      <c r="F31" s="36">
        <v>2</v>
      </c>
      <c r="G31" s="36">
        <v>3</v>
      </c>
      <c r="H31" s="40">
        <v>200</v>
      </c>
      <c r="I31" s="16">
        <f t="shared" si="2"/>
        <v>1200</v>
      </c>
      <c r="J31" s="48">
        <v>35</v>
      </c>
      <c r="K31" s="12">
        <f t="shared" si="3"/>
        <v>780</v>
      </c>
      <c r="L31" s="154"/>
    </row>
    <row r="32" spans="2:15" ht="17" thickBot="1" x14ac:dyDescent="0.25">
      <c r="B32" s="139"/>
      <c r="C32" s="140"/>
      <c r="D32" s="159" t="s">
        <v>51</v>
      </c>
      <c r="E32" s="160"/>
      <c r="F32" s="160"/>
      <c r="G32" s="160"/>
      <c r="H32" s="160"/>
      <c r="I32" s="160"/>
      <c r="J32" s="160"/>
      <c r="K32" s="161"/>
      <c r="L32" s="154"/>
    </row>
    <row r="33" spans="2:12" ht="17" x14ac:dyDescent="0.2">
      <c r="B33" s="139"/>
      <c r="C33" s="140"/>
      <c r="D33" s="61" t="s">
        <v>39</v>
      </c>
      <c r="E33" s="84" t="s">
        <v>22</v>
      </c>
      <c r="F33" s="59">
        <v>1</v>
      </c>
      <c r="G33" s="36">
        <v>3</v>
      </c>
      <c r="H33" s="60">
        <v>500</v>
      </c>
      <c r="I33" s="16">
        <f t="shared" si="2"/>
        <v>1500</v>
      </c>
      <c r="J33" s="48">
        <v>35</v>
      </c>
      <c r="K33" s="12">
        <f t="shared" si="3"/>
        <v>975</v>
      </c>
      <c r="L33" s="154"/>
    </row>
    <row r="34" spans="2:12" ht="17" x14ac:dyDescent="0.2">
      <c r="B34" s="139"/>
      <c r="C34" s="140"/>
      <c r="D34" s="102" t="s">
        <v>75</v>
      </c>
      <c r="E34" s="84" t="s">
        <v>22</v>
      </c>
      <c r="F34" s="91">
        <v>8</v>
      </c>
      <c r="G34" s="84">
        <v>2</v>
      </c>
      <c r="H34" s="92">
        <v>230</v>
      </c>
      <c r="I34" s="56">
        <f t="shared" si="2"/>
        <v>3680</v>
      </c>
      <c r="J34" s="55">
        <v>35</v>
      </c>
      <c r="K34" s="100">
        <f t="shared" si="3"/>
        <v>2392</v>
      </c>
      <c r="L34" s="154"/>
    </row>
    <row r="35" spans="2:12" x14ac:dyDescent="0.2">
      <c r="B35" s="139"/>
      <c r="C35" s="140"/>
      <c r="D35" s="57" t="s">
        <v>37</v>
      </c>
      <c r="E35" s="48" t="s">
        <v>22</v>
      </c>
      <c r="F35" s="36">
        <v>10</v>
      </c>
      <c r="G35" s="36">
        <v>3</v>
      </c>
      <c r="H35" s="40">
        <v>120</v>
      </c>
      <c r="I35" s="16">
        <f t="shared" si="2"/>
        <v>3600</v>
      </c>
      <c r="J35" s="48">
        <v>35</v>
      </c>
      <c r="K35" s="12">
        <f t="shared" si="3"/>
        <v>2340</v>
      </c>
      <c r="L35" s="154"/>
    </row>
    <row r="36" spans="2:12" x14ac:dyDescent="0.2">
      <c r="B36" s="139"/>
      <c r="C36" s="140"/>
      <c r="D36" s="61" t="s">
        <v>45</v>
      </c>
      <c r="E36" s="48" t="s">
        <v>22</v>
      </c>
      <c r="F36" s="36">
        <v>8</v>
      </c>
      <c r="G36" s="36">
        <v>3</v>
      </c>
      <c r="H36" s="185">
        <v>240</v>
      </c>
      <c r="I36" s="16">
        <f t="shared" si="2"/>
        <v>5760</v>
      </c>
      <c r="J36" s="48">
        <v>35</v>
      </c>
      <c r="K36" s="12">
        <f t="shared" si="3"/>
        <v>3744</v>
      </c>
      <c r="L36" s="154"/>
    </row>
    <row r="37" spans="2:12" x14ac:dyDescent="0.2">
      <c r="B37" s="139"/>
      <c r="C37" s="140"/>
      <c r="D37" s="61" t="s">
        <v>46</v>
      </c>
      <c r="E37" s="48" t="s">
        <v>22</v>
      </c>
      <c r="F37" s="36">
        <v>4</v>
      </c>
      <c r="G37" s="36">
        <v>3</v>
      </c>
      <c r="H37" s="40">
        <v>80</v>
      </c>
      <c r="I37" s="16">
        <f t="shared" si="2"/>
        <v>960</v>
      </c>
      <c r="J37" s="48">
        <v>35</v>
      </c>
      <c r="K37" s="12">
        <f t="shared" si="3"/>
        <v>624</v>
      </c>
      <c r="L37" s="154"/>
    </row>
    <row r="38" spans="2:12" x14ac:dyDescent="0.2">
      <c r="B38" s="139"/>
      <c r="C38" s="140"/>
      <c r="D38" s="187" t="s">
        <v>47</v>
      </c>
      <c r="E38" s="183" t="s">
        <v>99</v>
      </c>
      <c r="F38" s="184">
        <v>0</v>
      </c>
      <c r="G38" s="184">
        <v>3</v>
      </c>
      <c r="H38" s="185">
        <v>180</v>
      </c>
      <c r="I38" s="180">
        <f t="shared" si="2"/>
        <v>0</v>
      </c>
      <c r="J38" s="183">
        <v>35</v>
      </c>
      <c r="K38" s="186">
        <f t="shared" si="3"/>
        <v>0</v>
      </c>
      <c r="L38" s="154"/>
    </row>
    <row r="39" spans="2:12" x14ac:dyDescent="0.2">
      <c r="B39" s="139"/>
      <c r="C39" s="140"/>
      <c r="D39" s="61" t="s">
        <v>98</v>
      </c>
      <c r="E39" s="48" t="s">
        <v>22</v>
      </c>
      <c r="F39" s="36">
        <v>1</v>
      </c>
      <c r="G39" s="36">
        <v>3</v>
      </c>
      <c r="H39" s="40">
        <v>500</v>
      </c>
      <c r="I39" s="16">
        <f t="shared" si="2"/>
        <v>1500</v>
      </c>
      <c r="J39" s="48">
        <v>35</v>
      </c>
      <c r="K39" s="12">
        <f t="shared" si="3"/>
        <v>975</v>
      </c>
      <c r="L39" s="154"/>
    </row>
    <row r="40" spans="2:12" ht="17" thickBot="1" x14ac:dyDescent="0.25">
      <c r="B40" s="141"/>
      <c r="C40" s="142"/>
      <c r="D40" s="73" t="s">
        <v>38</v>
      </c>
      <c r="E40" s="19" t="s">
        <v>22</v>
      </c>
      <c r="F40" s="74">
        <v>1</v>
      </c>
      <c r="G40" s="74">
        <v>3</v>
      </c>
      <c r="H40" s="75">
        <v>200</v>
      </c>
      <c r="I40" s="20">
        <f t="shared" si="2"/>
        <v>600</v>
      </c>
      <c r="J40" s="19">
        <v>35</v>
      </c>
      <c r="K40" s="13">
        <f t="shared" si="3"/>
        <v>390</v>
      </c>
      <c r="L40" s="155"/>
    </row>
    <row r="41" spans="2:12" ht="17" thickBot="1" x14ac:dyDescent="0.25">
      <c r="B41" s="6"/>
      <c r="C41" s="6"/>
      <c r="H41" s="156" t="s">
        <v>7</v>
      </c>
      <c r="I41" s="157"/>
      <c r="J41" s="158"/>
      <c r="K41" s="18">
        <f>SUM(K4:K40)</f>
        <v>52175.5</v>
      </c>
    </row>
    <row r="42" spans="2:12" ht="17" thickBot="1" x14ac:dyDescent="0.25"/>
    <row r="43" spans="2:12" ht="31" thickBot="1" x14ac:dyDescent="0.25">
      <c r="B43" s="135" t="s">
        <v>48</v>
      </c>
      <c r="C43" s="136"/>
      <c r="D43" s="136"/>
      <c r="E43" s="53" t="s">
        <v>21</v>
      </c>
      <c r="F43" s="43" t="s">
        <v>1</v>
      </c>
      <c r="G43" s="43" t="s">
        <v>2</v>
      </c>
      <c r="H43" s="43" t="s">
        <v>3</v>
      </c>
      <c r="I43" s="43" t="s">
        <v>4</v>
      </c>
      <c r="J43" s="43" t="s">
        <v>5</v>
      </c>
      <c r="K43" s="43" t="s">
        <v>6</v>
      </c>
      <c r="L43" s="28" t="s">
        <v>23</v>
      </c>
    </row>
    <row r="44" spans="2:12" ht="16" customHeight="1" thickBot="1" x14ac:dyDescent="0.25">
      <c r="B44" s="146" t="s">
        <v>35</v>
      </c>
      <c r="C44" s="147"/>
      <c r="D44" s="159" t="s">
        <v>49</v>
      </c>
      <c r="E44" s="160"/>
      <c r="F44" s="160"/>
      <c r="G44" s="160"/>
      <c r="H44" s="160"/>
      <c r="I44" s="160"/>
      <c r="J44" s="160"/>
      <c r="K44" s="161"/>
      <c r="L44" s="143" t="s">
        <v>95</v>
      </c>
    </row>
    <row r="45" spans="2:12" ht="16" customHeight="1" x14ac:dyDescent="0.2">
      <c r="B45" s="150"/>
      <c r="C45" s="151"/>
      <c r="D45" s="95" t="s">
        <v>86</v>
      </c>
      <c r="E45" s="21" t="s">
        <v>22</v>
      </c>
      <c r="F45" s="38">
        <v>96</v>
      </c>
      <c r="G45" s="38">
        <v>3</v>
      </c>
      <c r="H45" s="179">
        <v>100</v>
      </c>
      <c r="I45" s="22">
        <f>F45*G45*H45</f>
        <v>28800</v>
      </c>
      <c r="J45" s="21">
        <v>35</v>
      </c>
      <c r="K45" s="11">
        <f>(F45*G45*H45)*((100-J45)/100)</f>
        <v>18720</v>
      </c>
      <c r="L45" s="144"/>
    </row>
    <row r="46" spans="2:12" ht="16" customHeight="1" x14ac:dyDescent="0.2">
      <c r="B46" s="150"/>
      <c r="C46" s="151"/>
      <c r="D46" s="61" t="s">
        <v>53</v>
      </c>
      <c r="E46" s="79" t="s">
        <v>22</v>
      </c>
      <c r="F46" s="79">
        <v>1</v>
      </c>
      <c r="G46" s="79">
        <v>3</v>
      </c>
      <c r="H46" s="16">
        <v>800</v>
      </c>
      <c r="I46" s="16">
        <f t="shared" ref="I46:I53" si="6">F46*G46*H46</f>
        <v>2400</v>
      </c>
      <c r="J46" s="48">
        <v>35</v>
      </c>
      <c r="K46" s="12">
        <f t="shared" ref="K46:K53" si="7">(F46*G46*H46)*((100-J46)/100)</f>
        <v>1560</v>
      </c>
      <c r="L46" s="144"/>
    </row>
    <row r="47" spans="2:12" ht="16" customHeight="1" x14ac:dyDescent="0.2">
      <c r="B47" s="150"/>
      <c r="C47" s="151"/>
      <c r="D47" s="97" t="s">
        <v>54</v>
      </c>
      <c r="E47" s="79" t="s">
        <v>22</v>
      </c>
      <c r="F47" s="79">
        <v>1</v>
      </c>
      <c r="G47" s="79">
        <v>3</v>
      </c>
      <c r="H47" s="180">
        <v>70</v>
      </c>
      <c r="I47" s="16">
        <f t="shared" si="6"/>
        <v>210</v>
      </c>
      <c r="J47" s="48">
        <v>35</v>
      </c>
      <c r="K47" s="12">
        <f t="shared" si="7"/>
        <v>136.5</v>
      </c>
      <c r="L47" s="144"/>
    </row>
    <row r="48" spans="2:12" ht="16" customHeight="1" x14ac:dyDescent="0.2">
      <c r="B48" s="150"/>
      <c r="C48" s="151"/>
      <c r="D48" s="97" t="s">
        <v>55</v>
      </c>
      <c r="E48" s="79" t="s">
        <v>22</v>
      </c>
      <c r="F48" s="79">
        <v>1</v>
      </c>
      <c r="G48" s="79">
        <v>3</v>
      </c>
      <c r="H48" s="16">
        <v>475</v>
      </c>
      <c r="I48" s="16">
        <f t="shared" si="6"/>
        <v>1425</v>
      </c>
      <c r="J48" s="48">
        <v>35</v>
      </c>
      <c r="K48" s="12">
        <f t="shared" si="7"/>
        <v>926.25</v>
      </c>
      <c r="L48" s="144"/>
    </row>
    <row r="49" spans="2:12" ht="16" customHeight="1" x14ac:dyDescent="0.2">
      <c r="B49" s="150"/>
      <c r="C49" s="151"/>
      <c r="D49" s="61" t="s">
        <v>56</v>
      </c>
      <c r="E49" s="79" t="s">
        <v>22</v>
      </c>
      <c r="F49" s="79">
        <v>6</v>
      </c>
      <c r="G49" s="79">
        <v>3</v>
      </c>
      <c r="H49" s="16">
        <v>80</v>
      </c>
      <c r="I49" s="16">
        <f t="shared" si="6"/>
        <v>1440</v>
      </c>
      <c r="J49" s="48">
        <v>35</v>
      </c>
      <c r="K49" s="12">
        <f t="shared" si="7"/>
        <v>936</v>
      </c>
      <c r="L49" s="144"/>
    </row>
    <row r="50" spans="2:12" ht="16" customHeight="1" x14ac:dyDescent="0.2">
      <c r="B50" s="150"/>
      <c r="C50" s="151"/>
      <c r="D50" s="61" t="s">
        <v>57</v>
      </c>
      <c r="E50" s="79" t="s">
        <v>22</v>
      </c>
      <c r="F50" s="79">
        <v>6</v>
      </c>
      <c r="G50" s="79">
        <v>3</v>
      </c>
      <c r="H50" s="16">
        <v>40</v>
      </c>
      <c r="I50" s="16">
        <f t="shared" si="6"/>
        <v>720</v>
      </c>
      <c r="J50" s="48">
        <v>35</v>
      </c>
      <c r="K50" s="12">
        <f t="shared" si="7"/>
        <v>468</v>
      </c>
      <c r="L50" s="144"/>
    </row>
    <row r="51" spans="2:12" ht="16" customHeight="1" x14ac:dyDescent="0.2">
      <c r="B51" s="150"/>
      <c r="C51" s="151"/>
      <c r="D51" s="61" t="s">
        <v>58</v>
      </c>
      <c r="E51" s="79" t="s">
        <v>22</v>
      </c>
      <c r="F51" s="79">
        <v>6</v>
      </c>
      <c r="G51" s="79">
        <v>3</v>
      </c>
      <c r="H51" s="16">
        <v>45</v>
      </c>
      <c r="I51" s="16">
        <f t="shared" si="6"/>
        <v>810</v>
      </c>
      <c r="J51" s="48">
        <v>35</v>
      </c>
      <c r="K51" s="12">
        <f t="shared" si="7"/>
        <v>526.5</v>
      </c>
      <c r="L51" s="144"/>
    </row>
    <row r="52" spans="2:12" ht="16" customHeight="1" x14ac:dyDescent="0.2">
      <c r="B52" s="150"/>
      <c r="C52" s="151"/>
      <c r="D52" s="105" t="s">
        <v>65</v>
      </c>
      <c r="E52" s="106" t="s">
        <v>22</v>
      </c>
      <c r="F52" s="107">
        <v>20</v>
      </c>
      <c r="G52" s="106">
        <v>3</v>
      </c>
      <c r="H52" s="181">
        <v>2.5</v>
      </c>
      <c r="I52" s="108">
        <f t="shared" si="6"/>
        <v>150</v>
      </c>
      <c r="J52" s="82">
        <v>35</v>
      </c>
      <c r="K52" s="109">
        <f t="shared" si="7"/>
        <v>97.5</v>
      </c>
      <c r="L52" s="144"/>
    </row>
    <row r="53" spans="2:12" ht="16" customHeight="1" x14ac:dyDescent="0.2">
      <c r="B53" s="150"/>
      <c r="C53" s="151"/>
      <c r="D53" s="182" t="s">
        <v>59</v>
      </c>
      <c r="E53" s="183" t="s">
        <v>22</v>
      </c>
      <c r="F53" s="184">
        <v>1</v>
      </c>
      <c r="G53" s="184">
        <v>3</v>
      </c>
      <c r="H53" s="185">
        <v>1400</v>
      </c>
      <c r="I53" s="180">
        <f t="shared" si="6"/>
        <v>4200</v>
      </c>
      <c r="J53" s="183">
        <v>35</v>
      </c>
      <c r="K53" s="186">
        <f t="shared" si="7"/>
        <v>2730</v>
      </c>
      <c r="L53" s="144"/>
    </row>
    <row r="54" spans="2:12" ht="16" customHeight="1" x14ac:dyDescent="0.2">
      <c r="B54" s="150"/>
      <c r="C54" s="151"/>
      <c r="D54" s="44" t="s">
        <v>43</v>
      </c>
      <c r="E54" s="48" t="s">
        <v>22</v>
      </c>
      <c r="F54" s="36">
        <v>1</v>
      </c>
      <c r="G54" s="36">
        <v>3</v>
      </c>
      <c r="H54" s="40">
        <v>1300</v>
      </c>
      <c r="I54" s="16">
        <f t="shared" ref="I54:I65" si="8">F54*G54*H54</f>
        <v>3900</v>
      </c>
      <c r="J54" s="48">
        <v>35</v>
      </c>
      <c r="K54" s="12">
        <f t="shared" ref="K54:K65" si="9">(F54*G54*H54)*((100-J54)/100)</f>
        <v>2535</v>
      </c>
      <c r="L54" s="144"/>
    </row>
    <row r="55" spans="2:12" ht="16" customHeight="1" x14ac:dyDescent="0.2">
      <c r="B55" s="150"/>
      <c r="C55" s="151"/>
      <c r="D55" s="44" t="s">
        <v>0</v>
      </c>
      <c r="E55" s="48" t="s">
        <v>22</v>
      </c>
      <c r="F55" s="36">
        <v>1</v>
      </c>
      <c r="G55" s="36">
        <v>3</v>
      </c>
      <c r="H55" s="40">
        <v>1000</v>
      </c>
      <c r="I55" s="16">
        <f t="shared" si="8"/>
        <v>3000</v>
      </c>
      <c r="J55" s="48">
        <v>35</v>
      </c>
      <c r="K55" s="12">
        <f t="shared" si="9"/>
        <v>1950</v>
      </c>
      <c r="L55" s="144"/>
    </row>
    <row r="56" spans="2:12" ht="16" customHeight="1" x14ac:dyDescent="0.2">
      <c r="B56" s="150"/>
      <c r="C56" s="151"/>
      <c r="D56" s="44" t="s">
        <v>41</v>
      </c>
      <c r="E56" s="79" t="s">
        <v>22</v>
      </c>
      <c r="F56" s="36">
        <v>1</v>
      </c>
      <c r="G56" s="36">
        <v>3</v>
      </c>
      <c r="H56" s="40">
        <v>200</v>
      </c>
      <c r="I56" s="16">
        <f t="shared" si="8"/>
        <v>600</v>
      </c>
      <c r="J56" s="48">
        <v>35</v>
      </c>
      <c r="K56" s="12">
        <f t="shared" si="9"/>
        <v>390</v>
      </c>
      <c r="L56" s="144"/>
    </row>
    <row r="57" spans="2:12" ht="16" customHeight="1" x14ac:dyDescent="0.2">
      <c r="B57" s="150"/>
      <c r="C57" s="151"/>
      <c r="D57" s="44" t="s">
        <v>8</v>
      </c>
      <c r="E57" s="79" t="s">
        <v>22</v>
      </c>
      <c r="F57" s="36">
        <v>2</v>
      </c>
      <c r="G57" s="36">
        <v>3</v>
      </c>
      <c r="H57" s="40">
        <v>200</v>
      </c>
      <c r="I57" s="16">
        <f t="shared" si="8"/>
        <v>1200</v>
      </c>
      <c r="J57" s="48">
        <v>35</v>
      </c>
      <c r="K57" s="12">
        <f t="shared" si="9"/>
        <v>780</v>
      </c>
      <c r="L57" s="144"/>
    </row>
    <row r="58" spans="2:12" ht="16" customHeight="1" x14ac:dyDescent="0.2">
      <c r="B58" s="150"/>
      <c r="C58" s="151"/>
      <c r="D58" s="44" t="s">
        <v>11</v>
      </c>
      <c r="E58" s="79" t="s">
        <v>22</v>
      </c>
      <c r="F58" s="36">
        <v>1</v>
      </c>
      <c r="G58" s="36">
        <v>3</v>
      </c>
      <c r="H58" s="185">
        <v>70</v>
      </c>
      <c r="I58" s="16">
        <f t="shared" si="8"/>
        <v>210</v>
      </c>
      <c r="J58" s="48">
        <v>35</v>
      </c>
      <c r="K58" s="12">
        <f t="shared" si="9"/>
        <v>136.5</v>
      </c>
      <c r="L58" s="144"/>
    </row>
    <row r="59" spans="2:12" ht="16" customHeight="1" x14ac:dyDescent="0.2">
      <c r="B59" s="150"/>
      <c r="C59" s="151"/>
      <c r="D59" s="44" t="s">
        <v>30</v>
      </c>
      <c r="E59" s="79" t="s">
        <v>22</v>
      </c>
      <c r="F59" s="36">
        <v>1</v>
      </c>
      <c r="G59" s="36">
        <v>3</v>
      </c>
      <c r="H59" s="185">
        <v>200</v>
      </c>
      <c r="I59" s="16">
        <f t="shared" si="8"/>
        <v>600</v>
      </c>
      <c r="J59" s="48">
        <v>35</v>
      </c>
      <c r="K59" s="12">
        <f t="shared" si="9"/>
        <v>390</v>
      </c>
      <c r="L59" s="144"/>
    </row>
    <row r="60" spans="2:12" ht="16" customHeight="1" x14ac:dyDescent="0.2">
      <c r="B60" s="150"/>
      <c r="C60" s="151"/>
      <c r="D60" s="44" t="s">
        <v>44</v>
      </c>
      <c r="E60" s="79" t="s">
        <v>22</v>
      </c>
      <c r="F60" s="36">
        <v>1</v>
      </c>
      <c r="G60" s="36">
        <v>3</v>
      </c>
      <c r="H60" s="185">
        <v>400</v>
      </c>
      <c r="I60" s="16">
        <f t="shared" si="8"/>
        <v>1200</v>
      </c>
      <c r="J60" s="48">
        <v>35</v>
      </c>
      <c r="K60" s="12">
        <f t="shared" si="9"/>
        <v>780</v>
      </c>
      <c r="L60" s="144"/>
    </row>
    <row r="61" spans="2:12" ht="16" customHeight="1" x14ac:dyDescent="0.2">
      <c r="B61" s="150"/>
      <c r="C61" s="151"/>
      <c r="D61" s="44" t="s">
        <v>31</v>
      </c>
      <c r="E61" s="79" t="s">
        <v>22</v>
      </c>
      <c r="F61" s="36">
        <v>1</v>
      </c>
      <c r="G61" s="36">
        <v>3</v>
      </c>
      <c r="H61" s="185">
        <v>500</v>
      </c>
      <c r="I61" s="16">
        <f t="shared" si="8"/>
        <v>1500</v>
      </c>
      <c r="J61" s="48">
        <v>35</v>
      </c>
      <c r="K61" s="12">
        <f t="shared" si="9"/>
        <v>975</v>
      </c>
      <c r="L61" s="144"/>
    </row>
    <row r="62" spans="2:12" ht="16" customHeight="1" x14ac:dyDescent="0.2">
      <c r="B62" s="150"/>
      <c r="C62" s="151"/>
      <c r="D62" s="44" t="s">
        <v>10</v>
      </c>
      <c r="E62" s="79" t="s">
        <v>22</v>
      </c>
      <c r="F62" s="36">
        <v>1</v>
      </c>
      <c r="G62" s="36">
        <v>3</v>
      </c>
      <c r="H62" s="185">
        <v>50</v>
      </c>
      <c r="I62" s="16">
        <f t="shared" si="8"/>
        <v>150</v>
      </c>
      <c r="J62" s="48">
        <v>35</v>
      </c>
      <c r="K62" s="12">
        <f t="shared" si="9"/>
        <v>97.5</v>
      </c>
      <c r="L62" s="144"/>
    </row>
    <row r="63" spans="2:12" ht="16" customHeight="1" x14ac:dyDescent="0.2">
      <c r="B63" s="150"/>
      <c r="C63" s="151"/>
      <c r="D63" s="44" t="s">
        <v>18</v>
      </c>
      <c r="E63" s="79" t="s">
        <v>22</v>
      </c>
      <c r="F63" s="36">
        <v>1</v>
      </c>
      <c r="G63" s="36">
        <v>3</v>
      </c>
      <c r="H63" s="185">
        <v>60</v>
      </c>
      <c r="I63" s="16">
        <f t="shared" si="8"/>
        <v>180</v>
      </c>
      <c r="J63" s="48">
        <v>35</v>
      </c>
      <c r="K63" s="12">
        <f t="shared" si="9"/>
        <v>117</v>
      </c>
      <c r="L63" s="144"/>
    </row>
    <row r="64" spans="2:12" ht="16" customHeight="1" x14ac:dyDescent="0.2">
      <c r="B64" s="150"/>
      <c r="C64" s="151"/>
      <c r="D64" s="44" t="s">
        <v>19</v>
      </c>
      <c r="E64" s="79" t="s">
        <v>22</v>
      </c>
      <c r="F64" s="36">
        <v>1</v>
      </c>
      <c r="G64" s="36">
        <v>3</v>
      </c>
      <c r="H64" s="40">
        <v>45</v>
      </c>
      <c r="I64" s="16">
        <f t="shared" si="8"/>
        <v>135</v>
      </c>
      <c r="J64" s="48">
        <v>35</v>
      </c>
      <c r="K64" s="12">
        <f t="shared" si="9"/>
        <v>87.75</v>
      </c>
      <c r="L64" s="144"/>
    </row>
    <row r="65" spans="2:12" ht="16" customHeight="1" thickBot="1" x14ac:dyDescent="0.25">
      <c r="B65" s="150"/>
      <c r="C65" s="151"/>
      <c r="D65" s="44" t="s">
        <v>20</v>
      </c>
      <c r="E65" s="79" t="s">
        <v>22</v>
      </c>
      <c r="F65" s="36">
        <v>1</v>
      </c>
      <c r="G65" s="36">
        <v>3</v>
      </c>
      <c r="H65" s="40">
        <v>200</v>
      </c>
      <c r="I65" s="16">
        <f t="shared" si="8"/>
        <v>600</v>
      </c>
      <c r="J65" s="48">
        <v>35</v>
      </c>
      <c r="K65" s="12">
        <f t="shared" si="9"/>
        <v>390</v>
      </c>
      <c r="L65" s="144"/>
    </row>
    <row r="66" spans="2:12" ht="16" customHeight="1" thickBot="1" x14ac:dyDescent="0.25">
      <c r="B66" s="150"/>
      <c r="C66" s="151"/>
      <c r="D66" s="159" t="s">
        <v>50</v>
      </c>
      <c r="E66" s="160"/>
      <c r="F66" s="160"/>
      <c r="G66" s="160"/>
      <c r="H66" s="160"/>
      <c r="I66" s="160"/>
      <c r="J66" s="160"/>
      <c r="K66" s="161"/>
      <c r="L66" s="144"/>
    </row>
    <row r="67" spans="2:12" ht="16" customHeight="1" x14ac:dyDescent="0.2">
      <c r="B67" s="150"/>
      <c r="C67" s="151"/>
      <c r="D67" s="44" t="s">
        <v>94</v>
      </c>
      <c r="E67" s="79" t="s">
        <v>22</v>
      </c>
      <c r="F67" s="36">
        <v>1</v>
      </c>
      <c r="G67" s="36">
        <v>3</v>
      </c>
      <c r="H67" s="40">
        <v>550</v>
      </c>
      <c r="I67" s="16">
        <f t="shared" ref="I67:I71" si="10">F67*G67*H67</f>
        <v>1650</v>
      </c>
      <c r="J67" s="48">
        <v>35</v>
      </c>
      <c r="K67" s="12">
        <f t="shared" ref="K67:K71" si="11">(F67*G67*H67)*((100-J67)/100)</f>
        <v>1072.5</v>
      </c>
      <c r="L67" s="144"/>
    </row>
    <row r="68" spans="2:12" ht="16" customHeight="1" x14ac:dyDescent="0.2">
      <c r="B68" s="150"/>
      <c r="C68" s="151"/>
      <c r="D68" s="44" t="s">
        <v>9</v>
      </c>
      <c r="E68" s="79" t="s">
        <v>22</v>
      </c>
      <c r="F68" s="36">
        <v>6</v>
      </c>
      <c r="G68" s="36">
        <v>3</v>
      </c>
      <c r="H68" s="40">
        <v>200</v>
      </c>
      <c r="I68" s="16">
        <f t="shared" si="10"/>
        <v>3600</v>
      </c>
      <c r="J68" s="48">
        <v>35</v>
      </c>
      <c r="K68" s="12">
        <f t="shared" si="11"/>
        <v>2340</v>
      </c>
      <c r="L68" s="144"/>
    </row>
    <row r="69" spans="2:12" ht="16" customHeight="1" x14ac:dyDescent="0.2">
      <c r="B69" s="150"/>
      <c r="C69" s="151"/>
      <c r="D69" s="44" t="s">
        <v>12</v>
      </c>
      <c r="E69" s="79" t="s">
        <v>22</v>
      </c>
      <c r="F69" s="36">
        <v>2</v>
      </c>
      <c r="G69" s="36">
        <v>3</v>
      </c>
      <c r="H69" s="40">
        <v>75</v>
      </c>
      <c r="I69" s="16">
        <f t="shared" si="10"/>
        <v>450</v>
      </c>
      <c r="J69" s="48">
        <v>35</v>
      </c>
      <c r="K69" s="12">
        <f t="shared" si="11"/>
        <v>292.5</v>
      </c>
      <c r="L69" s="144"/>
    </row>
    <row r="70" spans="2:12" ht="16" customHeight="1" x14ac:dyDescent="0.2">
      <c r="B70" s="150"/>
      <c r="C70" s="151"/>
      <c r="D70" s="44" t="s">
        <v>25</v>
      </c>
      <c r="E70" s="79" t="s">
        <v>22</v>
      </c>
      <c r="F70" s="36">
        <v>4</v>
      </c>
      <c r="G70" s="36">
        <v>3</v>
      </c>
      <c r="H70" s="40">
        <v>200</v>
      </c>
      <c r="I70" s="16">
        <f t="shared" si="10"/>
        <v>2400</v>
      </c>
      <c r="J70" s="48">
        <v>35</v>
      </c>
      <c r="K70" s="12">
        <f t="shared" si="11"/>
        <v>1560</v>
      </c>
      <c r="L70" s="144"/>
    </row>
    <row r="71" spans="2:12" ht="16" customHeight="1" thickBot="1" x14ac:dyDescent="0.25">
      <c r="B71" s="150"/>
      <c r="C71" s="151"/>
      <c r="D71" s="44" t="s">
        <v>32</v>
      </c>
      <c r="E71" s="79" t="s">
        <v>22</v>
      </c>
      <c r="F71" s="36">
        <v>2</v>
      </c>
      <c r="G71" s="36">
        <v>3</v>
      </c>
      <c r="H71" s="40">
        <v>200</v>
      </c>
      <c r="I71" s="16">
        <f t="shared" si="10"/>
        <v>1200</v>
      </c>
      <c r="J71" s="48">
        <v>35</v>
      </c>
      <c r="K71" s="12">
        <f t="shared" si="11"/>
        <v>780</v>
      </c>
      <c r="L71" s="144"/>
    </row>
    <row r="72" spans="2:12" ht="16" customHeight="1" thickBot="1" x14ac:dyDescent="0.25">
      <c r="B72" s="150"/>
      <c r="C72" s="151"/>
      <c r="D72" s="159" t="s">
        <v>51</v>
      </c>
      <c r="E72" s="160"/>
      <c r="F72" s="160"/>
      <c r="G72" s="160"/>
      <c r="H72" s="160"/>
      <c r="I72" s="160"/>
      <c r="J72" s="160"/>
      <c r="K72" s="161"/>
      <c r="L72" s="144"/>
    </row>
    <row r="73" spans="2:12" ht="16" customHeight="1" x14ac:dyDescent="0.2">
      <c r="B73" s="150"/>
      <c r="C73" s="151"/>
      <c r="D73" s="61" t="s">
        <v>39</v>
      </c>
      <c r="E73" s="84" t="s">
        <v>22</v>
      </c>
      <c r="F73" s="59">
        <v>1</v>
      </c>
      <c r="G73" s="36">
        <v>3</v>
      </c>
      <c r="H73" s="60">
        <v>500</v>
      </c>
      <c r="I73" s="16">
        <f t="shared" ref="I73:I81" si="12">F73*G73*H73</f>
        <v>1500</v>
      </c>
      <c r="J73" s="48">
        <v>35</v>
      </c>
      <c r="K73" s="12">
        <f t="shared" ref="K73:K81" si="13">(F73*G73*H73)*((100-J73)/100)</f>
        <v>975</v>
      </c>
      <c r="L73" s="144"/>
    </row>
    <row r="74" spans="2:12" ht="16" customHeight="1" x14ac:dyDescent="0.2">
      <c r="B74" s="150"/>
      <c r="C74" s="151"/>
      <c r="D74" s="102" t="s">
        <v>100</v>
      </c>
      <c r="E74" s="84" t="s">
        <v>22</v>
      </c>
      <c r="F74" s="91">
        <v>8</v>
      </c>
      <c r="G74" s="36">
        <v>3</v>
      </c>
      <c r="H74" s="92">
        <v>150</v>
      </c>
      <c r="I74" s="56">
        <f t="shared" si="12"/>
        <v>3600</v>
      </c>
      <c r="J74" s="55">
        <v>35</v>
      </c>
      <c r="K74" s="100">
        <f t="shared" si="13"/>
        <v>2340</v>
      </c>
      <c r="L74" s="144"/>
    </row>
    <row r="75" spans="2:12" ht="16" customHeight="1" x14ac:dyDescent="0.2">
      <c r="B75" s="150"/>
      <c r="C75" s="151"/>
      <c r="D75" s="57" t="s">
        <v>37</v>
      </c>
      <c r="E75" s="48" t="s">
        <v>22</v>
      </c>
      <c r="F75" s="36">
        <v>10</v>
      </c>
      <c r="G75" s="36">
        <v>3</v>
      </c>
      <c r="H75" s="40">
        <v>120</v>
      </c>
      <c r="I75" s="16">
        <f t="shared" si="12"/>
        <v>3600</v>
      </c>
      <c r="J75" s="48">
        <v>35</v>
      </c>
      <c r="K75" s="12">
        <f t="shared" si="13"/>
        <v>2340</v>
      </c>
      <c r="L75" s="144"/>
    </row>
    <row r="76" spans="2:12" ht="16" customHeight="1" x14ac:dyDescent="0.2">
      <c r="B76" s="150"/>
      <c r="C76" s="151"/>
      <c r="D76" s="61" t="s">
        <v>45</v>
      </c>
      <c r="E76" s="48" t="s">
        <v>22</v>
      </c>
      <c r="F76" s="36">
        <v>8</v>
      </c>
      <c r="G76" s="36">
        <v>3</v>
      </c>
      <c r="H76" s="40">
        <v>240</v>
      </c>
      <c r="I76" s="16">
        <f t="shared" si="12"/>
        <v>5760</v>
      </c>
      <c r="J76" s="48">
        <v>35</v>
      </c>
      <c r="K76" s="12">
        <f t="shared" si="13"/>
        <v>3744</v>
      </c>
      <c r="L76" s="144"/>
    </row>
    <row r="77" spans="2:12" ht="16" customHeight="1" x14ac:dyDescent="0.2">
      <c r="B77" s="150"/>
      <c r="C77" s="151"/>
      <c r="D77" s="61" t="s">
        <v>46</v>
      </c>
      <c r="E77" s="48" t="s">
        <v>22</v>
      </c>
      <c r="F77" s="36">
        <v>4</v>
      </c>
      <c r="G77" s="36">
        <v>3</v>
      </c>
      <c r="H77" s="40">
        <v>80</v>
      </c>
      <c r="I77" s="16">
        <f t="shared" si="12"/>
        <v>960</v>
      </c>
      <c r="J77" s="48">
        <v>35</v>
      </c>
      <c r="K77" s="12">
        <f t="shared" si="13"/>
        <v>624</v>
      </c>
      <c r="L77" s="144"/>
    </row>
    <row r="78" spans="2:12" ht="16" customHeight="1" x14ac:dyDescent="0.2">
      <c r="B78" s="150"/>
      <c r="C78" s="151"/>
      <c r="D78" s="61" t="s">
        <v>47</v>
      </c>
      <c r="E78" s="48" t="s">
        <v>101</v>
      </c>
      <c r="F78" s="36">
        <v>0</v>
      </c>
      <c r="G78" s="36">
        <v>3</v>
      </c>
      <c r="H78" s="40">
        <v>180</v>
      </c>
      <c r="I78" s="16">
        <f t="shared" si="12"/>
        <v>0</v>
      </c>
      <c r="J78" s="48">
        <v>35</v>
      </c>
      <c r="K78" s="12">
        <f t="shared" si="13"/>
        <v>0</v>
      </c>
      <c r="L78" s="144"/>
    </row>
    <row r="79" spans="2:12" ht="16" customHeight="1" x14ac:dyDescent="0.2">
      <c r="B79" s="150"/>
      <c r="C79" s="151"/>
      <c r="D79" s="61"/>
      <c r="E79" s="48"/>
      <c r="F79" s="36"/>
      <c r="G79" s="36"/>
      <c r="H79" s="40"/>
      <c r="I79" s="16"/>
      <c r="J79" s="48"/>
      <c r="K79" s="12"/>
      <c r="L79" s="144"/>
    </row>
    <row r="80" spans="2:12" ht="16" customHeight="1" x14ac:dyDescent="0.2">
      <c r="B80" s="150"/>
      <c r="C80" s="151"/>
      <c r="D80" s="57"/>
      <c r="E80" s="48"/>
      <c r="F80" s="36"/>
      <c r="G80" s="36"/>
      <c r="H80" s="40"/>
      <c r="I80" s="16"/>
      <c r="J80" s="48"/>
      <c r="K80" s="12"/>
      <c r="L80" s="144"/>
    </row>
    <row r="81" spans="2:12" ht="16" customHeight="1" thickBot="1" x14ac:dyDescent="0.25">
      <c r="B81" s="152"/>
      <c r="C81" s="153"/>
      <c r="D81" s="73" t="s">
        <v>38</v>
      </c>
      <c r="E81" s="19" t="s">
        <v>22</v>
      </c>
      <c r="F81" s="74">
        <v>1</v>
      </c>
      <c r="G81" s="74">
        <v>3</v>
      </c>
      <c r="H81" s="75">
        <v>200</v>
      </c>
      <c r="I81" s="20">
        <f t="shared" si="12"/>
        <v>600</v>
      </c>
      <c r="J81" s="19">
        <v>35</v>
      </c>
      <c r="K81" s="13">
        <f t="shared" si="13"/>
        <v>390</v>
      </c>
      <c r="L81" s="145"/>
    </row>
    <row r="82" spans="2:12" ht="17" thickBot="1" x14ac:dyDescent="0.25">
      <c r="B82" s="4"/>
      <c r="C82" s="4"/>
      <c r="H82" s="156" t="s">
        <v>7</v>
      </c>
      <c r="I82" s="157"/>
      <c r="J82" s="158"/>
      <c r="K82" s="18">
        <f>SUM(K44:K81)</f>
        <v>51187.5</v>
      </c>
    </row>
    <row r="83" spans="2:12" ht="17" thickBot="1" x14ac:dyDescent="0.25"/>
    <row r="84" spans="2:12" ht="31" thickBot="1" x14ac:dyDescent="0.25">
      <c r="B84" s="135" t="s">
        <v>48</v>
      </c>
      <c r="C84" s="136"/>
      <c r="D84" s="136"/>
      <c r="E84" s="53" t="s">
        <v>21</v>
      </c>
      <c r="F84" s="43" t="s">
        <v>1</v>
      </c>
      <c r="G84" s="43" t="s">
        <v>2</v>
      </c>
      <c r="H84" s="43" t="s">
        <v>3</v>
      </c>
      <c r="I84" s="43" t="s">
        <v>4</v>
      </c>
      <c r="J84" s="43" t="s">
        <v>5</v>
      </c>
      <c r="K84" s="43" t="s">
        <v>6</v>
      </c>
      <c r="L84" s="28" t="s">
        <v>23</v>
      </c>
    </row>
    <row r="85" spans="2:12" ht="17" thickBot="1" x14ac:dyDescent="0.25">
      <c r="B85" s="146" t="s">
        <v>52</v>
      </c>
      <c r="C85" s="147"/>
      <c r="D85" s="176" t="s">
        <v>49</v>
      </c>
      <c r="E85" s="177"/>
      <c r="F85" s="177"/>
      <c r="G85" s="177"/>
      <c r="H85" s="177"/>
      <c r="I85" s="177"/>
      <c r="J85" s="177"/>
      <c r="K85" s="178"/>
      <c r="L85" s="143" t="s">
        <v>81</v>
      </c>
    </row>
    <row r="86" spans="2:12" ht="17" x14ac:dyDescent="0.2">
      <c r="B86" s="148"/>
      <c r="C86" s="149"/>
      <c r="D86" s="95" t="s">
        <v>86</v>
      </c>
      <c r="E86" s="76" t="s">
        <v>22</v>
      </c>
      <c r="F86" s="77">
        <v>96</v>
      </c>
      <c r="G86" s="77">
        <v>2</v>
      </c>
      <c r="H86" s="188">
        <v>100</v>
      </c>
      <c r="I86" s="78">
        <f t="shared" ref="I86:I121" si="14">F86*G86*H86</f>
        <v>19200</v>
      </c>
      <c r="J86" s="77">
        <v>35</v>
      </c>
      <c r="K86" s="96">
        <f>(F86*G86*H86)*((100-J86)/100)</f>
        <v>12480</v>
      </c>
      <c r="L86" s="154"/>
    </row>
    <row r="87" spans="2:12" ht="17" x14ac:dyDescent="0.2">
      <c r="B87" s="150"/>
      <c r="C87" s="151"/>
      <c r="D87" s="61" t="s">
        <v>53</v>
      </c>
      <c r="E87" s="79" t="s">
        <v>22</v>
      </c>
      <c r="F87" s="79">
        <v>1</v>
      </c>
      <c r="G87" s="79">
        <v>2</v>
      </c>
      <c r="H87" s="16">
        <v>800</v>
      </c>
      <c r="I87" s="16">
        <f t="shared" si="14"/>
        <v>1600</v>
      </c>
      <c r="J87" s="48">
        <v>35</v>
      </c>
      <c r="K87" s="12">
        <f t="shared" ref="K87:K121" si="15">(F87*G87*H87)*((100-J87)/100)</f>
        <v>1040</v>
      </c>
      <c r="L87" s="154"/>
    </row>
    <row r="88" spans="2:12" ht="17" x14ac:dyDescent="0.2">
      <c r="B88" s="150"/>
      <c r="C88" s="151"/>
      <c r="D88" s="97" t="s">
        <v>54</v>
      </c>
      <c r="E88" s="79" t="s">
        <v>22</v>
      </c>
      <c r="F88" s="79">
        <v>1</v>
      </c>
      <c r="G88" s="79">
        <v>2</v>
      </c>
      <c r="H88" s="180">
        <v>70</v>
      </c>
      <c r="I88" s="16">
        <f t="shared" si="14"/>
        <v>140</v>
      </c>
      <c r="J88" s="48">
        <v>35</v>
      </c>
      <c r="K88" s="12">
        <f t="shared" si="15"/>
        <v>91</v>
      </c>
      <c r="L88" s="154"/>
    </row>
    <row r="89" spans="2:12" ht="17" x14ac:dyDescent="0.2">
      <c r="B89" s="150"/>
      <c r="C89" s="151"/>
      <c r="D89" s="97" t="s">
        <v>55</v>
      </c>
      <c r="E89" s="79" t="s">
        <v>22</v>
      </c>
      <c r="F89" s="79">
        <v>1</v>
      </c>
      <c r="G89" s="79">
        <v>2</v>
      </c>
      <c r="H89" s="16">
        <v>475</v>
      </c>
      <c r="I89" s="16">
        <f t="shared" si="14"/>
        <v>950</v>
      </c>
      <c r="J89" s="48">
        <v>35</v>
      </c>
      <c r="K89" s="12">
        <f t="shared" si="15"/>
        <v>617.5</v>
      </c>
      <c r="L89" s="154"/>
    </row>
    <row r="90" spans="2:12" ht="17" x14ac:dyDescent="0.2">
      <c r="B90" s="150"/>
      <c r="C90" s="151"/>
      <c r="D90" s="61" t="s">
        <v>56</v>
      </c>
      <c r="E90" s="79" t="s">
        <v>22</v>
      </c>
      <c r="F90" s="79">
        <v>6</v>
      </c>
      <c r="G90" s="79">
        <v>2</v>
      </c>
      <c r="H90" s="16">
        <v>80</v>
      </c>
      <c r="I90" s="16">
        <f t="shared" si="14"/>
        <v>960</v>
      </c>
      <c r="J90" s="48">
        <v>35</v>
      </c>
      <c r="K90" s="12">
        <f t="shared" si="15"/>
        <v>624</v>
      </c>
      <c r="L90" s="154"/>
    </row>
    <row r="91" spans="2:12" ht="17" x14ac:dyDescent="0.2">
      <c r="B91" s="150"/>
      <c r="C91" s="151"/>
      <c r="D91" s="61" t="s">
        <v>57</v>
      </c>
      <c r="E91" s="79" t="s">
        <v>22</v>
      </c>
      <c r="F91" s="79">
        <v>6</v>
      </c>
      <c r="G91" s="79">
        <v>2</v>
      </c>
      <c r="H91" s="16">
        <v>40</v>
      </c>
      <c r="I91" s="16">
        <f t="shared" si="14"/>
        <v>480</v>
      </c>
      <c r="J91" s="48">
        <v>35</v>
      </c>
      <c r="K91" s="12">
        <f t="shared" si="15"/>
        <v>312</v>
      </c>
      <c r="L91" s="154"/>
    </row>
    <row r="92" spans="2:12" ht="17" x14ac:dyDescent="0.2">
      <c r="B92" s="150"/>
      <c r="C92" s="151"/>
      <c r="D92" s="61" t="s">
        <v>58</v>
      </c>
      <c r="E92" s="79" t="s">
        <v>22</v>
      </c>
      <c r="F92" s="79">
        <v>6</v>
      </c>
      <c r="G92" s="79">
        <v>2</v>
      </c>
      <c r="H92" s="16">
        <v>45</v>
      </c>
      <c r="I92" s="16">
        <f t="shared" si="14"/>
        <v>540</v>
      </c>
      <c r="J92" s="48">
        <v>35</v>
      </c>
      <c r="K92" s="12">
        <f t="shared" si="15"/>
        <v>351</v>
      </c>
      <c r="L92" s="154"/>
    </row>
    <row r="93" spans="2:12" ht="17" x14ac:dyDescent="0.2">
      <c r="B93" s="150"/>
      <c r="C93" s="151"/>
      <c r="D93" s="105" t="s">
        <v>65</v>
      </c>
      <c r="E93" s="106" t="s">
        <v>22</v>
      </c>
      <c r="F93" s="107">
        <v>20</v>
      </c>
      <c r="G93" s="106">
        <v>2</v>
      </c>
      <c r="H93" s="180">
        <v>2.5</v>
      </c>
      <c r="I93" s="108">
        <f t="shared" si="14"/>
        <v>100</v>
      </c>
      <c r="J93" s="82">
        <v>35</v>
      </c>
      <c r="K93" s="109">
        <f t="shared" si="15"/>
        <v>65</v>
      </c>
      <c r="L93" s="154"/>
    </row>
    <row r="94" spans="2:12" ht="17" x14ac:dyDescent="0.2">
      <c r="B94" s="150"/>
      <c r="C94" s="151"/>
      <c r="D94" s="97" t="s">
        <v>59</v>
      </c>
      <c r="E94" s="79" t="s">
        <v>22</v>
      </c>
      <c r="F94" s="79">
        <v>1</v>
      </c>
      <c r="G94" s="79">
        <v>2</v>
      </c>
      <c r="H94" s="180">
        <v>1400</v>
      </c>
      <c r="I94" s="16">
        <f t="shared" si="14"/>
        <v>2800</v>
      </c>
      <c r="J94" s="48">
        <v>35</v>
      </c>
      <c r="K94" s="12">
        <f>(F94*G94*H94)*((100-J94)/100)</f>
        <v>1820</v>
      </c>
      <c r="L94" s="154"/>
    </row>
    <row r="95" spans="2:12" ht="17" x14ac:dyDescent="0.2">
      <c r="B95" s="150"/>
      <c r="C95" s="151"/>
      <c r="D95" s="97" t="s">
        <v>60</v>
      </c>
      <c r="E95" s="79" t="s">
        <v>22</v>
      </c>
      <c r="F95" s="79">
        <v>1</v>
      </c>
      <c r="G95" s="79">
        <v>2</v>
      </c>
      <c r="H95" s="16">
        <v>1300</v>
      </c>
      <c r="I95" s="16">
        <f t="shared" si="14"/>
        <v>2600</v>
      </c>
      <c r="J95" s="48">
        <v>35</v>
      </c>
      <c r="K95" s="12">
        <f t="shared" ref="K95" si="16">(F95*G95*H95)*((100-J95)/100)</f>
        <v>1690</v>
      </c>
      <c r="L95" s="154"/>
    </row>
    <row r="96" spans="2:12" ht="17" x14ac:dyDescent="0.2">
      <c r="B96" s="150"/>
      <c r="C96" s="151"/>
      <c r="D96" s="57" t="s">
        <v>61</v>
      </c>
      <c r="E96" s="79" t="s">
        <v>22</v>
      </c>
      <c r="F96" s="48">
        <v>1</v>
      </c>
      <c r="G96" s="79">
        <v>2</v>
      </c>
      <c r="H96" s="16">
        <v>1000</v>
      </c>
      <c r="I96" s="16">
        <f t="shared" si="14"/>
        <v>2000</v>
      </c>
      <c r="J96" s="48">
        <v>35</v>
      </c>
      <c r="K96" s="12">
        <f t="shared" si="15"/>
        <v>1300</v>
      </c>
      <c r="L96" s="154"/>
    </row>
    <row r="97" spans="2:12" ht="17" x14ac:dyDescent="0.2">
      <c r="B97" s="150"/>
      <c r="C97" s="151"/>
      <c r="D97" s="57" t="s">
        <v>62</v>
      </c>
      <c r="E97" s="79" t="s">
        <v>22</v>
      </c>
      <c r="F97" s="48">
        <v>1</v>
      </c>
      <c r="G97" s="79">
        <v>2</v>
      </c>
      <c r="H97" s="16">
        <v>400</v>
      </c>
      <c r="I97" s="16">
        <f t="shared" si="14"/>
        <v>800</v>
      </c>
      <c r="J97" s="48">
        <v>35</v>
      </c>
      <c r="K97" s="12">
        <f t="shared" si="15"/>
        <v>520</v>
      </c>
      <c r="L97" s="154"/>
    </row>
    <row r="98" spans="2:12" ht="17" x14ac:dyDescent="0.2">
      <c r="B98" s="150"/>
      <c r="C98" s="151"/>
      <c r="D98" s="57" t="s">
        <v>42</v>
      </c>
      <c r="E98" s="79" t="s">
        <v>22</v>
      </c>
      <c r="F98" s="48">
        <v>2</v>
      </c>
      <c r="G98" s="79">
        <v>2</v>
      </c>
      <c r="H98" s="16">
        <v>200</v>
      </c>
      <c r="I98" s="16">
        <f t="shared" si="14"/>
        <v>800</v>
      </c>
      <c r="J98" s="48">
        <v>35</v>
      </c>
      <c r="K98" s="12">
        <f t="shared" si="15"/>
        <v>520</v>
      </c>
      <c r="L98" s="154"/>
    </row>
    <row r="99" spans="2:12" ht="17" x14ac:dyDescent="0.2">
      <c r="B99" s="150"/>
      <c r="C99" s="151"/>
      <c r="D99" s="57" t="s">
        <v>82</v>
      </c>
      <c r="E99" s="79" t="s">
        <v>22</v>
      </c>
      <c r="F99" s="48">
        <v>1</v>
      </c>
      <c r="G99" s="79">
        <v>2</v>
      </c>
      <c r="H99" s="16">
        <v>200</v>
      </c>
      <c r="I99" s="16">
        <f t="shared" si="14"/>
        <v>400</v>
      </c>
      <c r="J99" s="48">
        <v>35</v>
      </c>
      <c r="K99" s="12">
        <f t="shared" si="15"/>
        <v>260</v>
      </c>
      <c r="L99" s="154"/>
    </row>
    <row r="100" spans="2:12" ht="17" x14ac:dyDescent="0.2">
      <c r="B100" s="150"/>
      <c r="C100" s="151"/>
      <c r="D100" s="57" t="s">
        <v>63</v>
      </c>
      <c r="E100" s="79" t="s">
        <v>22</v>
      </c>
      <c r="F100" s="48">
        <v>1</v>
      </c>
      <c r="G100" s="79">
        <v>2</v>
      </c>
      <c r="H100" s="16">
        <v>150</v>
      </c>
      <c r="I100" s="16">
        <f t="shared" si="14"/>
        <v>300</v>
      </c>
      <c r="J100" s="48">
        <v>35</v>
      </c>
      <c r="K100" s="12">
        <f t="shared" si="15"/>
        <v>195</v>
      </c>
      <c r="L100" s="154"/>
    </row>
    <row r="101" spans="2:12" ht="17" x14ac:dyDescent="0.2">
      <c r="B101" s="150"/>
      <c r="C101" s="151"/>
      <c r="D101" s="57" t="s">
        <v>11</v>
      </c>
      <c r="E101" s="79" t="s">
        <v>22</v>
      </c>
      <c r="F101" s="48">
        <v>2</v>
      </c>
      <c r="G101" s="79">
        <v>2</v>
      </c>
      <c r="H101" s="180">
        <v>70</v>
      </c>
      <c r="I101" s="16">
        <f t="shared" si="14"/>
        <v>280</v>
      </c>
      <c r="J101" s="48">
        <v>35</v>
      </c>
      <c r="K101" s="12">
        <f t="shared" si="15"/>
        <v>182</v>
      </c>
      <c r="L101" s="154"/>
    </row>
    <row r="102" spans="2:12" ht="17" x14ac:dyDescent="0.2">
      <c r="B102" s="150"/>
      <c r="C102" s="151"/>
      <c r="D102" s="57" t="s">
        <v>64</v>
      </c>
      <c r="E102" s="79" t="s">
        <v>22</v>
      </c>
      <c r="F102" s="48">
        <v>2</v>
      </c>
      <c r="G102" s="79">
        <v>2</v>
      </c>
      <c r="H102" s="180">
        <v>990</v>
      </c>
      <c r="I102" s="80">
        <f t="shared" si="14"/>
        <v>3960</v>
      </c>
      <c r="J102" s="48">
        <v>35</v>
      </c>
      <c r="K102" s="98">
        <f t="shared" si="15"/>
        <v>2574</v>
      </c>
      <c r="L102" s="154"/>
    </row>
    <row r="103" spans="2:12" ht="17" x14ac:dyDescent="0.2">
      <c r="B103" s="150"/>
      <c r="C103" s="151"/>
      <c r="D103" s="58" t="s">
        <v>79</v>
      </c>
      <c r="E103" s="79" t="s">
        <v>22</v>
      </c>
      <c r="F103" s="62">
        <v>2</v>
      </c>
      <c r="G103" s="79">
        <v>2</v>
      </c>
      <c r="H103" s="189">
        <v>100</v>
      </c>
      <c r="I103" s="16">
        <f>F103*G103*H103</f>
        <v>400</v>
      </c>
      <c r="J103" s="48">
        <v>40</v>
      </c>
      <c r="K103" s="12">
        <f>(F103*G103*H103)*((100-J103)/100)</f>
        <v>240</v>
      </c>
      <c r="L103" s="154"/>
    </row>
    <row r="104" spans="2:12" ht="17" x14ac:dyDescent="0.2">
      <c r="B104" s="150"/>
      <c r="C104" s="151"/>
      <c r="D104" s="57" t="s">
        <v>10</v>
      </c>
      <c r="E104" s="79" t="s">
        <v>22</v>
      </c>
      <c r="F104" s="48">
        <v>1</v>
      </c>
      <c r="G104" s="79">
        <v>2</v>
      </c>
      <c r="H104" s="180">
        <v>50</v>
      </c>
      <c r="I104" s="16">
        <f t="shared" si="14"/>
        <v>100</v>
      </c>
      <c r="J104" s="48">
        <v>35</v>
      </c>
      <c r="K104" s="12">
        <f t="shared" si="15"/>
        <v>65</v>
      </c>
      <c r="L104" s="154"/>
    </row>
    <row r="105" spans="2:12" ht="17" x14ac:dyDescent="0.2">
      <c r="B105" s="150"/>
      <c r="C105" s="151"/>
      <c r="D105" s="57" t="s">
        <v>18</v>
      </c>
      <c r="E105" s="79" t="s">
        <v>22</v>
      </c>
      <c r="F105" s="48">
        <v>1</v>
      </c>
      <c r="G105" s="79">
        <v>2</v>
      </c>
      <c r="H105" s="180">
        <v>60</v>
      </c>
      <c r="I105" s="16">
        <f t="shared" si="14"/>
        <v>120</v>
      </c>
      <c r="J105" s="48">
        <v>35</v>
      </c>
      <c r="K105" s="12">
        <f t="shared" si="15"/>
        <v>78</v>
      </c>
      <c r="L105" s="154"/>
    </row>
    <row r="106" spans="2:12" ht="18" thickBot="1" x14ac:dyDescent="0.25">
      <c r="B106" s="150"/>
      <c r="C106" s="151"/>
      <c r="D106" s="99" t="s">
        <v>19</v>
      </c>
      <c r="E106" s="81" t="s">
        <v>22</v>
      </c>
      <c r="F106" s="82">
        <v>1</v>
      </c>
      <c r="G106" s="81">
        <v>2</v>
      </c>
      <c r="H106" s="83">
        <v>45</v>
      </c>
      <c r="I106" s="16">
        <f t="shared" si="14"/>
        <v>90</v>
      </c>
      <c r="J106" s="48">
        <v>35</v>
      </c>
      <c r="K106" s="12">
        <f t="shared" si="15"/>
        <v>58.5</v>
      </c>
      <c r="L106" s="154"/>
    </row>
    <row r="107" spans="2:12" ht="17" thickBot="1" x14ac:dyDescent="0.25">
      <c r="B107" s="150"/>
      <c r="C107" s="151"/>
      <c r="D107" s="173" t="s">
        <v>66</v>
      </c>
      <c r="E107" s="174"/>
      <c r="F107" s="174"/>
      <c r="G107" s="174"/>
      <c r="H107" s="174"/>
      <c r="I107" s="174"/>
      <c r="J107" s="174"/>
      <c r="K107" s="175"/>
      <c r="L107" s="154"/>
    </row>
    <row r="108" spans="2:12" ht="17" x14ac:dyDescent="0.2">
      <c r="B108" s="150"/>
      <c r="C108" s="151"/>
      <c r="D108" s="110" t="s">
        <v>13</v>
      </c>
      <c r="E108" s="111" t="s">
        <v>22</v>
      </c>
      <c r="F108" s="71">
        <v>1</v>
      </c>
      <c r="G108" s="111">
        <v>2</v>
      </c>
      <c r="H108" s="190">
        <v>550</v>
      </c>
      <c r="I108" s="70">
        <f t="shared" si="14"/>
        <v>1100</v>
      </c>
      <c r="J108" s="71">
        <v>35</v>
      </c>
      <c r="K108" s="72">
        <f t="shared" si="15"/>
        <v>715</v>
      </c>
      <c r="L108" s="154"/>
    </row>
    <row r="109" spans="2:12" ht="17" x14ac:dyDescent="0.2">
      <c r="B109" s="150"/>
      <c r="C109" s="151"/>
      <c r="D109" s="57" t="s">
        <v>9</v>
      </c>
      <c r="E109" s="79" t="s">
        <v>22</v>
      </c>
      <c r="F109" s="48">
        <v>8</v>
      </c>
      <c r="G109" s="79">
        <v>2</v>
      </c>
      <c r="H109" s="16">
        <v>200</v>
      </c>
      <c r="I109" s="16">
        <f t="shared" si="14"/>
        <v>3200</v>
      </c>
      <c r="J109" s="48">
        <v>35</v>
      </c>
      <c r="K109" s="12">
        <f t="shared" si="15"/>
        <v>2080</v>
      </c>
      <c r="L109" s="154"/>
    </row>
    <row r="110" spans="2:12" ht="17" x14ac:dyDescent="0.2">
      <c r="B110" s="150"/>
      <c r="C110" s="151"/>
      <c r="D110" s="57" t="s">
        <v>67</v>
      </c>
      <c r="E110" s="84" t="s">
        <v>22</v>
      </c>
      <c r="F110" s="55">
        <v>2</v>
      </c>
      <c r="G110" s="84">
        <v>2</v>
      </c>
      <c r="H110" s="56">
        <v>200</v>
      </c>
      <c r="I110" s="56">
        <f t="shared" si="14"/>
        <v>800</v>
      </c>
      <c r="J110" s="55">
        <v>35</v>
      </c>
      <c r="K110" s="100">
        <f t="shared" si="15"/>
        <v>520</v>
      </c>
      <c r="L110" s="154"/>
    </row>
    <row r="111" spans="2:12" ht="17" x14ac:dyDescent="0.2">
      <c r="B111" s="150"/>
      <c r="C111" s="151"/>
      <c r="D111" s="57" t="s">
        <v>68</v>
      </c>
      <c r="E111" s="84" t="s">
        <v>22</v>
      </c>
      <c r="F111" s="55">
        <v>2</v>
      </c>
      <c r="G111" s="84">
        <v>2</v>
      </c>
      <c r="H111" s="180">
        <v>150</v>
      </c>
      <c r="I111" s="56">
        <f t="shared" si="14"/>
        <v>600</v>
      </c>
      <c r="J111" s="55">
        <v>35</v>
      </c>
      <c r="K111" s="100">
        <f t="shared" si="15"/>
        <v>390</v>
      </c>
      <c r="L111" s="154"/>
    </row>
    <row r="112" spans="2:12" ht="17" x14ac:dyDescent="0.2">
      <c r="B112" s="150"/>
      <c r="C112" s="151"/>
      <c r="D112" s="57" t="s">
        <v>69</v>
      </c>
      <c r="E112" s="84" t="s">
        <v>22</v>
      </c>
      <c r="F112" s="55">
        <v>2</v>
      </c>
      <c r="G112" s="84">
        <v>2</v>
      </c>
      <c r="H112" s="56">
        <v>300</v>
      </c>
      <c r="I112" s="56">
        <f t="shared" si="14"/>
        <v>1200</v>
      </c>
      <c r="J112" s="55">
        <v>35</v>
      </c>
      <c r="K112" s="100">
        <f t="shared" si="15"/>
        <v>780</v>
      </c>
      <c r="L112" s="154"/>
    </row>
    <row r="113" spans="2:12" ht="17" x14ac:dyDescent="0.2">
      <c r="B113" s="150"/>
      <c r="C113" s="151"/>
      <c r="D113" s="99" t="s">
        <v>70</v>
      </c>
      <c r="E113" s="85" t="s">
        <v>22</v>
      </c>
      <c r="F113" s="86">
        <v>2</v>
      </c>
      <c r="G113" s="84">
        <v>2</v>
      </c>
      <c r="H113" s="56">
        <v>300</v>
      </c>
      <c r="I113" s="56">
        <f t="shared" si="14"/>
        <v>1200</v>
      </c>
      <c r="J113" s="55">
        <v>35</v>
      </c>
      <c r="K113" s="100">
        <f t="shared" si="15"/>
        <v>780</v>
      </c>
      <c r="L113" s="154"/>
    </row>
    <row r="114" spans="2:12" ht="17" x14ac:dyDescent="0.2">
      <c r="B114" s="150"/>
      <c r="C114" s="151"/>
      <c r="D114" s="97" t="s">
        <v>20</v>
      </c>
      <c r="E114" s="87" t="s">
        <v>22</v>
      </c>
      <c r="F114" s="88">
        <v>1</v>
      </c>
      <c r="G114" s="89">
        <v>2</v>
      </c>
      <c r="H114" s="90">
        <v>200</v>
      </c>
      <c r="I114" s="90">
        <f t="shared" si="14"/>
        <v>400</v>
      </c>
      <c r="J114" s="86">
        <v>35</v>
      </c>
      <c r="K114" s="101">
        <f t="shared" si="15"/>
        <v>260</v>
      </c>
      <c r="L114" s="154"/>
    </row>
    <row r="115" spans="2:12" ht="18" thickBot="1" x14ac:dyDescent="0.25">
      <c r="B115" s="150"/>
      <c r="C115" s="151"/>
      <c r="D115" s="105" t="s">
        <v>71</v>
      </c>
      <c r="E115" s="112" t="s">
        <v>22</v>
      </c>
      <c r="F115" s="113">
        <v>1</v>
      </c>
      <c r="G115" s="112">
        <v>2</v>
      </c>
      <c r="H115" s="114">
        <v>200</v>
      </c>
      <c r="I115" s="114">
        <f t="shared" si="14"/>
        <v>400</v>
      </c>
      <c r="J115" s="115">
        <v>35</v>
      </c>
      <c r="K115" s="116">
        <f t="shared" si="15"/>
        <v>260</v>
      </c>
      <c r="L115" s="154"/>
    </row>
    <row r="116" spans="2:12" ht="17" thickBot="1" x14ac:dyDescent="0.25">
      <c r="B116" s="150"/>
      <c r="C116" s="151"/>
      <c r="D116" s="176" t="s">
        <v>72</v>
      </c>
      <c r="E116" s="177"/>
      <c r="F116" s="177"/>
      <c r="G116" s="177"/>
      <c r="H116" s="177"/>
      <c r="I116" s="177"/>
      <c r="J116" s="177"/>
      <c r="K116" s="178"/>
      <c r="L116" s="154"/>
    </row>
    <row r="117" spans="2:12" ht="17" x14ac:dyDescent="0.2">
      <c r="B117" s="150"/>
      <c r="C117" s="151"/>
      <c r="D117" s="117" t="s">
        <v>73</v>
      </c>
      <c r="E117" s="118" t="s">
        <v>22</v>
      </c>
      <c r="F117" s="119">
        <v>8</v>
      </c>
      <c r="G117" s="118">
        <v>2</v>
      </c>
      <c r="H117" s="120">
        <v>300</v>
      </c>
      <c r="I117" s="121">
        <f t="shared" si="14"/>
        <v>4800</v>
      </c>
      <c r="J117" s="122">
        <v>35</v>
      </c>
      <c r="K117" s="123">
        <f t="shared" si="15"/>
        <v>3120</v>
      </c>
      <c r="L117" s="154"/>
    </row>
    <row r="118" spans="2:12" ht="17" x14ac:dyDescent="0.2">
      <c r="B118" s="150"/>
      <c r="C118" s="151"/>
      <c r="D118" s="102" t="s">
        <v>74</v>
      </c>
      <c r="E118" s="84" t="s">
        <v>22</v>
      </c>
      <c r="F118" s="91">
        <v>12</v>
      </c>
      <c r="G118" s="84">
        <v>2</v>
      </c>
      <c r="H118" s="92">
        <v>120</v>
      </c>
      <c r="I118" s="56">
        <f t="shared" si="14"/>
        <v>2880</v>
      </c>
      <c r="J118" s="55">
        <v>35</v>
      </c>
      <c r="K118" s="100">
        <f t="shared" si="15"/>
        <v>1872</v>
      </c>
      <c r="L118" s="154"/>
    </row>
    <row r="119" spans="2:12" ht="17" x14ac:dyDescent="0.2">
      <c r="B119" s="150"/>
      <c r="C119" s="151"/>
      <c r="D119" s="102" t="s">
        <v>75</v>
      </c>
      <c r="E119" s="84" t="s">
        <v>22</v>
      </c>
      <c r="F119" s="91">
        <v>8</v>
      </c>
      <c r="G119" s="84">
        <v>2</v>
      </c>
      <c r="H119" s="92">
        <v>230</v>
      </c>
      <c r="I119" s="56">
        <f t="shared" si="14"/>
        <v>3680</v>
      </c>
      <c r="J119" s="55">
        <v>35</v>
      </c>
      <c r="K119" s="100">
        <f t="shared" si="15"/>
        <v>2392</v>
      </c>
      <c r="L119" s="154"/>
    </row>
    <row r="120" spans="2:12" ht="17" x14ac:dyDescent="0.2">
      <c r="B120" s="150"/>
      <c r="C120" s="151"/>
      <c r="D120" s="102" t="s">
        <v>76</v>
      </c>
      <c r="E120" s="84" t="s">
        <v>22</v>
      </c>
      <c r="F120" s="91">
        <v>2</v>
      </c>
      <c r="G120" s="84">
        <v>2</v>
      </c>
      <c r="H120" s="92">
        <v>280</v>
      </c>
      <c r="I120" s="56">
        <f t="shared" si="14"/>
        <v>1120</v>
      </c>
      <c r="J120" s="55">
        <v>35</v>
      </c>
      <c r="K120" s="100">
        <f t="shared" si="15"/>
        <v>728</v>
      </c>
      <c r="L120" s="154"/>
    </row>
    <row r="121" spans="2:12" ht="17" x14ac:dyDescent="0.2">
      <c r="B121" s="150"/>
      <c r="C121" s="151"/>
      <c r="D121" s="102" t="s">
        <v>77</v>
      </c>
      <c r="E121" s="84" t="s">
        <v>22</v>
      </c>
      <c r="F121" s="91">
        <v>1</v>
      </c>
      <c r="G121" s="84">
        <v>2</v>
      </c>
      <c r="H121" s="189">
        <v>300</v>
      </c>
      <c r="I121" s="56">
        <f t="shared" si="14"/>
        <v>600</v>
      </c>
      <c r="J121" s="55">
        <v>35</v>
      </c>
      <c r="K121" s="100">
        <f t="shared" si="15"/>
        <v>390</v>
      </c>
      <c r="L121" s="154"/>
    </row>
    <row r="122" spans="2:12" x14ac:dyDescent="0.2">
      <c r="B122" s="150"/>
      <c r="C122" s="151"/>
      <c r="D122" s="58" t="s">
        <v>78</v>
      </c>
      <c r="E122" s="62" t="s">
        <v>22</v>
      </c>
      <c r="F122" s="62">
        <v>1</v>
      </c>
      <c r="G122" s="79">
        <v>2</v>
      </c>
      <c r="H122" s="189">
        <v>900</v>
      </c>
      <c r="I122" s="16">
        <f>F122*G122*H122</f>
        <v>1800</v>
      </c>
      <c r="J122" s="48">
        <v>35</v>
      </c>
      <c r="K122" s="12">
        <f>(F122*G122*H122)*((100-J122)/100)</f>
        <v>1170</v>
      </c>
      <c r="L122" s="154"/>
    </row>
    <row r="123" spans="2:12" ht="34" x14ac:dyDescent="0.2">
      <c r="B123" s="150"/>
      <c r="C123" s="151"/>
      <c r="D123" s="102" t="s">
        <v>102</v>
      </c>
      <c r="E123" s="84" t="s">
        <v>22</v>
      </c>
      <c r="F123" s="91">
        <v>2</v>
      </c>
      <c r="G123" s="84">
        <v>2</v>
      </c>
      <c r="H123" s="189">
        <v>45</v>
      </c>
      <c r="I123" s="56">
        <f>F123*G123*H123</f>
        <v>180</v>
      </c>
      <c r="J123" s="55">
        <v>35</v>
      </c>
      <c r="K123" s="100">
        <f>(F123*G123*H123)*((100-J123)/100)</f>
        <v>117</v>
      </c>
      <c r="L123" s="154"/>
    </row>
    <row r="124" spans="2:12" ht="17" x14ac:dyDescent="0.2">
      <c r="B124" s="150"/>
      <c r="C124" s="151"/>
      <c r="D124" s="187" t="s">
        <v>56</v>
      </c>
      <c r="E124" s="191" t="s">
        <v>22</v>
      </c>
      <c r="F124" s="192">
        <v>6</v>
      </c>
      <c r="G124" s="191">
        <v>2</v>
      </c>
      <c r="H124" s="189">
        <v>80</v>
      </c>
      <c r="I124" s="180">
        <f>F124*G124*H124</f>
        <v>960</v>
      </c>
      <c r="J124" s="183">
        <v>35</v>
      </c>
      <c r="K124" s="186">
        <f>(F124*G124*H124)*((100-J124)/100)</f>
        <v>624</v>
      </c>
      <c r="L124" s="154"/>
    </row>
    <row r="125" spans="2:12" ht="17" x14ac:dyDescent="0.2">
      <c r="B125" s="171"/>
      <c r="C125" s="172"/>
      <c r="D125" s="193" t="s">
        <v>103</v>
      </c>
      <c r="E125" s="194" t="s">
        <v>22</v>
      </c>
      <c r="F125" s="195">
        <v>2</v>
      </c>
      <c r="G125" s="194">
        <v>2</v>
      </c>
      <c r="H125" s="196">
        <v>120</v>
      </c>
      <c r="I125" s="197">
        <f>F125*G125*H125</f>
        <v>480</v>
      </c>
      <c r="J125" s="198">
        <v>35</v>
      </c>
      <c r="K125" s="199">
        <f>(F125*G125*H125)*((100-J125)/100)</f>
        <v>312</v>
      </c>
      <c r="L125" s="154"/>
    </row>
    <row r="126" spans="2:12" ht="17" x14ac:dyDescent="0.2">
      <c r="B126" s="171"/>
      <c r="C126" s="172"/>
      <c r="D126" s="193" t="s">
        <v>98</v>
      </c>
      <c r="E126" s="194" t="s">
        <v>22</v>
      </c>
      <c r="F126" s="195">
        <v>1</v>
      </c>
      <c r="G126" s="194">
        <v>2</v>
      </c>
      <c r="H126" s="196">
        <v>500</v>
      </c>
      <c r="I126" s="197">
        <f>F126*G126*H126</f>
        <v>1000</v>
      </c>
      <c r="J126" s="198">
        <v>35</v>
      </c>
      <c r="K126" s="199">
        <f>(F126*G126*H126)*((100-J126)/100)</f>
        <v>650</v>
      </c>
      <c r="L126" s="154"/>
    </row>
    <row r="127" spans="2:12" ht="18" thickBot="1" x14ac:dyDescent="0.25">
      <c r="B127" s="152"/>
      <c r="C127" s="153"/>
      <c r="D127" s="103" t="s">
        <v>80</v>
      </c>
      <c r="E127" s="104" t="s">
        <v>22</v>
      </c>
      <c r="F127" s="93">
        <v>1</v>
      </c>
      <c r="G127" s="104">
        <v>2</v>
      </c>
      <c r="H127" s="94">
        <v>200</v>
      </c>
      <c r="I127" s="20">
        <f>F127*G127*H127</f>
        <v>400</v>
      </c>
      <c r="J127" s="19">
        <v>35</v>
      </c>
      <c r="K127" s="13">
        <f>(F127*G127*H127)*((100-J127)/100)</f>
        <v>260</v>
      </c>
      <c r="L127" s="155"/>
    </row>
    <row r="128" spans="2:12" ht="17" thickBot="1" x14ac:dyDescent="0.25">
      <c r="B128" s="4"/>
      <c r="C128" s="4"/>
      <c r="H128" s="156" t="s">
        <v>7</v>
      </c>
      <c r="I128" s="157"/>
      <c r="J128" s="158"/>
      <c r="K128" s="18">
        <f>SUM(K85:K127)</f>
        <v>42503</v>
      </c>
    </row>
    <row r="129" spans="2:12" ht="17" thickBot="1" x14ac:dyDescent="0.25"/>
    <row r="130" spans="2:12" ht="31" thickBot="1" x14ac:dyDescent="0.25">
      <c r="B130" s="135" t="s">
        <v>48</v>
      </c>
      <c r="C130" s="136"/>
      <c r="D130" s="136"/>
      <c r="E130" s="53" t="s">
        <v>21</v>
      </c>
      <c r="F130" s="43" t="s">
        <v>1</v>
      </c>
      <c r="G130" s="43" t="s">
        <v>2</v>
      </c>
      <c r="H130" s="43" t="s">
        <v>3</v>
      </c>
      <c r="I130" s="43" t="s">
        <v>4</v>
      </c>
      <c r="J130" s="43" t="s">
        <v>5</v>
      </c>
      <c r="K130" s="43" t="s">
        <v>6</v>
      </c>
      <c r="L130" s="28" t="s">
        <v>23</v>
      </c>
    </row>
    <row r="131" spans="2:12" ht="16" customHeight="1" thickBot="1" x14ac:dyDescent="0.25">
      <c r="B131" s="146" t="s">
        <v>84</v>
      </c>
      <c r="C131" s="147"/>
      <c r="D131" s="176" t="s">
        <v>49</v>
      </c>
      <c r="E131" s="177"/>
      <c r="F131" s="177"/>
      <c r="G131" s="177"/>
      <c r="H131" s="177"/>
      <c r="I131" s="177"/>
      <c r="J131" s="177"/>
      <c r="K131" s="178"/>
      <c r="L131" s="143" t="s">
        <v>92</v>
      </c>
    </row>
    <row r="132" spans="2:12" ht="17" x14ac:dyDescent="0.2">
      <c r="B132" s="150"/>
      <c r="C132" s="151"/>
      <c r="D132" s="95" t="s">
        <v>85</v>
      </c>
      <c r="E132" s="76" t="s">
        <v>22</v>
      </c>
      <c r="F132" s="77">
        <v>60</v>
      </c>
      <c r="G132" s="77">
        <v>2</v>
      </c>
      <c r="H132" s="188">
        <v>100</v>
      </c>
      <c r="I132" s="78">
        <f t="shared" ref="I132:I147" si="17">F132*G132*H132</f>
        <v>12000</v>
      </c>
      <c r="J132" s="77">
        <v>35</v>
      </c>
      <c r="K132" s="96">
        <f>(F132*G132*H132)*((100-J132)/100)</f>
        <v>7800</v>
      </c>
      <c r="L132" s="144"/>
    </row>
    <row r="133" spans="2:12" ht="17" x14ac:dyDescent="0.2">
      <c r="B133" s="150"/>
      <c r="C133" s="151"/>
      <c r="D133" s="61" t="s">
        <v>53</v>
      </c>
      <c r="E133" s="79" t="s">
        <v>22</v>
      </c>
      <c r="F133" s="79">
        <v>1</v>
      </c>
      <c r="G133" s="79">
        <v>2</v>
      </c>
      <c r="H133" s="16">
        <v>800</v>
      </c>
      <c r="I133" s="16">
        <f t="shared" si="17"/>
        <v>1600</v>
      </c>
      <c r="J133" s="48">
        <v>35</v>
      </c>
      <c r="K133" s="12">
        <f t="shared" ref="K133:K139" si="18">(F133*G133*H133)*((100-J133)/100)</f>
        <v>1040</v>
      </c>
      <c r="L133" s="144"/>
    </row>
    <row r="134" spans="2:12" ht="17" x14ac:dyDescent="0.2">
      <c r="B134" s="150"/>
      <c r="C134" s="151"/>
      <c r="D134" s="97" t="s">
        <v>54</v>
      </c>
      <c r="E134" s="79" t="s">
        <v>22</v>
      </c>
      <c r="F134" s="79">
        <v>1</v>
      </c>
      <c r="G134" s="79">
        <v>2</v>
      </c>
      <c r="H134" s="180">
        <v>70</v>
      </c>
      <c r="I134" s="16">
        <f t="shared" si="17"/>
        <v>140</v>
      </c>
      <c r="J134" s="48">
        <v>35</v>
      </c>
      <c r="K134" s="12">
        <f t="shared" si="18"/>
        <v>91</v>
      </c>
      <c r="L134" s="144"/>
    </row>
    <row r="135" spans="2:12" ht="17" x14ac:dyDescent="0.2">
      <c r="B135" s="150"/>
      <c r="C135" s="151"/>
      <c r="D135" s="97" t="s">
        <v>55</v>
      </c>
      <c r="E135" s="79" t="s">
        <v>22</v>
      </c>
      <c r="F135" s="79">
        <v>1</v>
      </c>
      <c r="G135" s="79">
        <v>2</v>
      </c>
      <c r="H135" s="16">
        <v>475</v>
      </c>
      <c r="I135" s="16">
        <f t="shared" si="17"/>
        <v>950</v>
      </c>
      <c r="J135" s="48">
        <v>35</v>
      </c>
      <c r="K135" s="12">
        <f t="shared" si="18"/>
        <v>617.5</v>
      </c>
      <c r="L135" s="144"/>
    </row>
    <row r="136" spans="2:12" ht="17" x14ac:dyDescent="0.2">
      <c r="B136" s="150"/>
      <c r="C136" s="151"/>
      <c r="D136" s="61" t="s">
        <v>56</v>
      </c>
      <c r="E136" s="79" t="s">
        <v>22</v>
      </c>
      <c r="F136" s="79">
        <v>4</v>
      </c>
      <c r="G136" s="79">
        <v>2</v>
      </c>
      <c r="H136" s="16">
        <v>80</v>
      </c>
      <c r="I136" s="16">
        <f t="shared" si="17"/>
        <v>640</v>
      </c>
      <c r="J136" s="48">
        <v>35</v>
      </c>
      <c r="K136" s="12">
        <f t="shared" si="18"/>
        <v>416</v>
      </c>
      <c r="L136" s="144"/>
    </row>
    <row r="137" spans="2:12" ht="17" x14ac:dyDescent="0.2">
      <c r="B137" s="150"/>
      <c r="C137" s="151"/>
      <c r="D137" s="61" t="s">
        <v>57</v>
      </c>
      <c r="E137" s="79" t="s">
        <v>22</v>
      </c>
      <c r="F137" s="79">
        <v>4</v>
      </c>
      <c r="G137" s="79">
        <v>2</v>
      </c>
      <c r="H137" s="16">
        <v>40</v>
      </c>
      <c r="I137" s="16">
        <f t="shared" si="17"/>
        <v>320</v>
      </c>
      <c r="J137" s="48">
        <v>35</v>
      </c>
      <c r="K137" s="12">
        <f t="shared" si="18"/>
        <v>208</v>
      </c>
      <c r="L137" s="144"/>
    </row>
    <row r="138" spans="2:12" ht="17" x14ac:dyDescent="0.2">
      <c r="B138" s="150"/>
      <c r="C138" s="151"/>
      <c r="D138" s="61" t="s">
        <v>58</v>
      </c>
      <c r="E138" s="79" t="s">
        <v>22</v>
      </c>
      <c r="F138" s="79">
        <v>4</v>
      </c>
      <c r="G138" s="79">
        <v>2</v>
      </c>
      <c r="H138" s="16">
        <v>45</v>
      </c>
      <c r="I138" s="16">
        <f t="shared" si="17"/>
        <v>360</v>
      </c>
      <c r="J138" s="48">
        <v>35</v>
      </c>
      <c r="K138" s="12">
        <f t="shared" si="18"/>
        <v>234</v>
      </c>
      <c r="L138" s="144"/>
    </row>
    <row r="139" spans="2:12" ht="17" x14ac:dyDescent="0.2">
      <c r="B139" s="150"/>
      <c r="C139" s="151"/>
      <c r="D139" s="105" t="s">
        <v>65</v>
      </c>
      <c r="E139" s="106" t="s">
        <v>22</v>
      </c>
      <c r="F139" s="107">
        <v>20</v>
      </c>
      <c r="G139" s="106">
        <v>2</v>
      </c>
      <c r="H139" s="181">
        <v>2.5</v>
      </c>
      <c r="I139" s="108">
        <f t="shared" si="17"/>
        <v>100</v>
      </c>
      <c r="J139" s="82">
        <v>35</v>
      </c>
      <c r="K139" s="109">
        <f t="shared" si="18"/>
        <v>65</v>
      </c>
      <c r="L139" s="144"/>
    </row>
    <row r="140" spans="2:12" ht="17" x14ac:dyDescent="0.2">
      <c r="B140" s="150"/>
      <c r="C140" s="151"/>
      <c r="D140" s="182" t="s">
        <v>104</v>
      </c>
      <c r="E140" s="200" t="s">
        <v>22</v>
      </c>
      <c r="F140" s="191">
        <v>1</v>
      </c>
      <c r="G140" s="191">
        <v>2</v>
      </c>
      <c r="H140" s="180">
        <v>1200</v>
      </c>
      <c r="I140" s="180">
        <f t="shared" si="17"/>
        <v>2400</v>
      </c>
      <c r="J140" s="198">
        <v>35</v>
      </c>
      <c r="K140" s="186">
        <f>(F140*G140*H140)*((100-J140)/100)</f>
        <v>1560</v>
      </c>
      <c r="L140" s="144"/>
    </row>
    <row r="141" spans="2:12" ht="17" x14ac:dyDescent="0.2">
      <c r="B141" s="150"/>
      <c r="C141" s="151"/>
      <c r="D141" s="57" t="s">
        <v>61</v>
      </c>
      <c r="E141" s="79" t="s">
        <v>36</v>
      </c>
      <c r="F141" s="48">
        <v>1</v>
      </c>
      <c r="G141" s="79">
        <v>2</v>
      </c>
      <c r="H141" s="16">
        <v>1000</v>
      </c>
      <c r="I141" s="16">
        <f t="shared" si="17"/>
        <v>2000</v>
      </c>
      <c r="J141" s="48">
        <v>100</v>
      </c>
      <c r="K141" s="12">
        <f t="shared" ref="K141:K147" si="19">(F141*G141*H141)*((100-J141)/100)</f>
        <v>0</v>
      </c>
      <c r="L141" s="144"/>
    </row>
    <row r="142" spans="2:12" ht="17" x14ac:dyDescent="0.2">
      <c r="B142" s="150"/>
      <c r="C142" s="151"/>
      <c r="D142" s="57" t="s">
        <v>88</v>
      </c>
      <c r="E142" s="79" t="s">
        <v>36</v>
      </c>
      <c r="F142" s="48">
        <v>1</v>
      </c>
      <c r="G142" s="79">
        <v>2</v>
      </c>
      <c r="H142" s="16">
        <v>400</v>
      </c>
      <c r="I142" s="16">
        <f t="shared" si="17"/>
        <v>800</v>
      </c>
      <c r="J142" s="48">
        <v>100</v>
      </c>
      <c r="K142" s="12">
        <f t="shared" si="19"/>
        <v>0</v>
      </c>
      <c r="L142" s="144"/>
    </row>
    <row r="143" spans="2:12" ht="17" x14ac:dyDescent="0.2">
      <c r="B143" s="150"/>
      <c r="C143" s="151"/>
      <c r="D143" s="57" t="s">
        <v>42</v>
      </c>
      <c r="E143" s="79" t="s">
        <v>36</v>
      </c>
      <c r="F143" s="48">
        <v>2</v>
      </c>
      <c r="G143" s="79">
        <v>2</v>
      </c>
      <c r="H143" s="16">
        <v>200</v>
      </c>
      <c r="I143" s="16">
        <f t="shared" si="17"/>
        <v>800</v>
      </c>
      <c r="J143" s="48">
        <v>100</v>
      </c>
      <c r="K143" s="12">
        <f t="shared" si="19"/>
        <v>0</v>
      </c>
      <c r="L143" s="144"/>
    </row>
    <row r="144" spans="2:12" ht="17" x14ac:dyDescent="0.2">
      <c r="B144" s="150"/>
      <c r="C144" s="151"/>
      <c r="D144" s="57" t="s">
        <v>82</v>
      </c>
      <c r="E144" s="79" t="s">
        <v>36</v>
      </c>
      <c r="F144" s="48">
        <v>1</v>
      </c>
      <c r="G144" s="79">
        <v>2</v>
      </c>
      <c r="H144" s="16">
        <v>200</v>
      </c>
      <c r="I144" s="16">
        <f t="shared" si="17"/>
        <v>400</v>
      </c>
      <c r="J144" s="48">
        <v>100</v>
      </c>
      <c r="K144" s="12">
        <f t="shared" si="19"/>
        <v>0</v>
      </c>
      <c r="L144" s="144"/>
    </row>
    <row r="145" spans="2:12" ht="17" x14ac:dyDescent="0.2">
      <c r="B145" s="150"/>
      <c r="C145" s="151"/>
      <c r="D145" s="57" t="s">
        <v>63</v>
      </c>
      <c r="E145" s="79" t="s">
        <v>36</v>
      </c>
      <c r="F145" s="48">
        <v>1</v>
      </c>
      <c r="G145" s="79">
        <v>2</v>
      </c>
      <c r="H145" s="16">
        <v>150</v>
      </c>
      <c r="I145" s="16">
        <f t="shared" si="17"/>
        <v>300</v>
      </c>
      <c r="J145" s="48">
        <v>100</v>
      </c>
      <c r="K145" s="12">
        <f t="shared" si="19"/>
        <v>0</v>
      </c>
      <c r="L145" s="144"/>
    </row>
    <row r="146" spans="2:12" ht="17" x14ac:dyDescent="0.2">
      <c r="B146" s="150"/>
      <c r="C146" s="151"/>
      <c r="D146" s="57" t="s">
        <v>11</v>
      </c>
      <c r="E146" s="79" t="s">
        <v>36</v>
      </c>
      <c r="F146" s="48">
        <v>1</v>
      </c>
      <c r="G146" s="79">
        <v>2</v>
      </c>
      <c r="H146" s="80">
        <v>50</v>
      </c>
      <c r="I146" s="16">
        <f t="shared" si="17"/>
        <v>100</v>
      </c>
      <c r="J146" s="48">
        <v>100</v>
      </c>
      <c r="K146" s="12">
        <f t="shared" si="19"/>
        <v>0</v>
      </c>
      <c r="L146" s="144"/>
    </row>
    <row r="147" spans="2:12" ht="17" x14ac:dyDescent="0.2">
      <c r="B147" s="150"/>
      <c r="C147" s="151"/>
      <c r="D147" s="57" t="s">
        <v>89</v>
      </c>
      <c r="E147" s="79" t="s">
        <v>36</v>
      </c>
      <c r="F147" s="48">
        <v>2</v>
      </c>
      <c r="G147" s="79">
        <v>2</v>
      </c>
      <c r="H147" s="80">
        <v>550</v>
      </c>
      <c r="I147" s="80">
        <f t="shared" si="17"/>
        <v>2200</v>
      </c>
      <c r="J147" s="48">
        <v>100</v>
      </c>
      <c r="K147" s="98">
        <f t="shared" si="19"/>
        <v>0</v>
      </c>
      <c r="L147" s="144"/>
    </row>
    <row r="148" spans="2:12" ht="17" x14ac:dyDescent="0.2">
      <c r="B148" s="150"/>
      <c r="C148" s="151"/>
      <c r="D148" s="57" t="s">
        <v>10</v>
      </c>
      <c r="E148" s="79" t="s">
        <v>36</v>
      </c>
      <c r="F148" s="48">
        <v>1</v>
      </c>
      <c r="G148" s="79">
        <v>2</v>
      </c>
      <c r="H148" s="80">
        <v>40</v>
      </c>
      <c r="I148" s="16">
        <f t="shared" ref="I148:I150" si="20">F148*G148*H148</f>
        <v>80</v>
      </c>
      <c r="J148" s="48">
        <v>100</v>
      </c>
      <c r="K148" s="12">
        <f t="shared" ref="K148:K150" si="21">(F148*G148*H148)*((100-J148)/100)</f>
        <v>0</v>
      </c>
      <c r="L148" s="144"/>
    </row>
    <row r="149" spans="2:12" ht="17" x14ac:dyDescent="0.2">
      <c r="B149" s="150"/>
      <c r="C149" s="151"/>
      <c r="D149" s="57" t="s">
        <v>18</v>
      </c>
      <c r="E149" s="79" t="s">
        <v>36</v>
      </c>
      <c r="F149" s="48">
        <v>1</v>
      </c>
      <c r="G149" s="79">
        <v>2</v>
      </c>
      <c r="H149" s="80">
        <v>50</v>
      </c>
      <c r="I149" s="16">
        <f t="shared" si="20"/>
        <v>100</v>
      </c>
      <c r="J149" s="48">
        <v>100</v>
      </c>
      <c r="K149" s="12">
        <f t="shared" si="21"/>
        <v>0</v>
      </c>
      <c r="L149" s="144"/>
    </row>
    <row r="150" spans="2:12" ht="18" thickBot="1" x14ac:dyDescent="0.25">
      <c r="B150" s="150"/>
      <c r="C150" s="151"/>
      <c r="D150" s="99" t="s">
        <v>19</v>
      </c>
      <c r="E150" s="81" t="s">
        <v>36</v>
      </c>
      <c r="F150" s="82">
        <v>1</v>
      </c>
      <c r="G150" s="81">
        <v>2</v>
      </c>
      <c r="H150" s="83">
        <v>45</v>
      </c>
      <c r="I150" s="16">
        <f t="shared" si="20"/>
        <v>90</v>
      </c>
      <c r="J150" s="48">
        <v>100</v>
      </c>
      <c r="K150" s="12">
        <f t="shared" si="21"/>
        <v>0</v>
      </c>
      <c r="L150" s="144"/>
    </row>
    <row r="151" spans="2:12" ht="17" thickBot="1" x14ac:dyDescent="0.25">
      <c r="B151" s="150"/>
      <c r="C151" s="151"/>
      <c r="D151" s="173" t="s">
        <v>66</v>
      </c>
      <c r="E151" s="174"/>
      <c r="F151" s="174"/>
      <c r="G151" s="174"/>
      <c r="H151" s="174"/>
      <c r="I151" s="174"/>
      <c r="J151" s="174"/>
      <c r="K151" s="175"/>
      <c r="L151" s="144"/>
    </row>
    <row r="152" spans="2:12" ht="17" x14ac:dyDescent="0.2">
      <c r="B152" s="150"/>
      <c r="C152" s="151"/>
      <c r="D152" s="44" t="s">
        <v>83</v>
      </c>
      <c r="E152" s="79" t="s">
        <v>36</v>
      </c>
      <c r="F152" s="36">
        <v>1</v>
      </c>
      <c r="G152" s="36">
        <v>2</v>
      </c>
      <c r="H152" s="40">
        <v>550</v>
      </c>
      <c r="I152" s="16">
        <f t="shared" ref="I152:I156" si="22">F152*G152*H152</f>
        <v>1100</v>
      </c>
      <c r="J152" s="48">
        <v>100</v>
      </c>
      <c r="K152" s="12">
        <f t="shared" ref="K152:K156" si="23">(F152*G152*H152)*((100-J152)/100)</f>
        <v>0</v>
      </c>
      <c r="L152" s="144"/>
    </row>
    <row r="153" spans="2:12" ht="17" x14ac:dyDescent="0.2">
      <c r="B153" s="150"/>
      <c r="C153" s="151"/>
      <c r="D153" s="44" t="s">
        <v>9</v>
      </c>
      <c r="E153" s="79" t="s">
        <v>36</v>
      </c>
      <c r="F153" s="36">
        <v>6</v>
      </c>
      <c r="G153" s="36">
        <v>2</v>
      </c>
      <c r="H153" s="40">
        <v>200</v>
      </c>
      <c r="I153" s="16">
        <f t="shared" si="22"/>
        <v>2400</v>
      </c>
      <c r="J153" s="48">
        <v>100</v>
      </c>
      <c r="K153" s="12">
        <f t="shared" si="23"/>
        <v>0</v>
      </c>
      <c r="L153" s="144"/>
    </row>
    <row r="154" spans="2:12" ht="17" x14ac:dyDescent="0.2">
      <c r="B154" s="150"/>
      <c r="C154" s="151"/>
      <c r="D154" s="44" t="s">
        <v>12</v>
      </c>
      <c r="E154" s="79" t="s">
        <v>36</v>
      </c>
      <c r="F154" s="36">
        <v>2</v>
      </c>
      <c r="G154" s="36">
        <v>2</v>
      </c>
      <c r="H154" s="40">
        <v>75</v>
      </c>
      <c r="I154" s="16">
        <f t="shared" si="22"/>
        <v>300</v>
      </c>
      <c r="J154" s="48">
        <v>100</v>
      </c>
      <c r="K154" s="12">
        <f t="shared" si="23"/>
        <v>0</v>
      </c>
      <c r="L154" s="144"/>
    </row>
    <row r="155" spans="2:12" ht="17" x14ac:dyDescent="0.2">
      <c r="B155" s="150"/>
      <c r="C155" s="151"/>
      <c r="D155" s="44" t="s">
        <v>25</v>
      </c>
      <c r="E155" s="79" t="s">
        <v>36</v>
      </c>
      <c r="F155" s="36">
        <v>4</v>
      </c>
      <c r="G155" s="36">
        <v>2</v>
      </c>
      <c r="H155" s="40">
        <v>200</v>
      </c>
      <c r="I155" s="16">
        <f t="shared" si="22"/>
        <v>1600</v>
      </c>
      <c r="J155" s="48">
        <v>100</v>
      </c>
      <c r="K155" s="12">
        <f t="shared" si="23"/>
        <v>0</v>
      </c>
      <c r="L155" s="144"/>
    </row>
    <row r="156" spans="2:12" ht="18" thickBot="1" x14ac:dyDescent="0.25">
      <c r="B156" s="150"/>
      <c r="C156" s="151"/>
      <c r="D156" s="44" t="s">
        <v>32</v>
      </c>
      <c r="E156" s="79" t="s">
        <v>36</v>
      </c>
      <c r="F156" s="36">
        <v>2</v>
      </c>
      <c r="G156" s="36">
        <v>2</v>
      </c>
      <c r="H156" s="40">
        <v>200</v>
      </c>
      <c r="I156" s="16">
        <f t="shared" si="22"/>
        <v>800</v>
      </c>
      <c r="J156" s="48">
        <v>100</v>
      </c>
      <c r="K156" s="12">
        <f t="shared" si="23"/>
        <v>0</v>
      </c>
      <c r="L156" s="144"/>
    </row>
    <row r="157" spans="2:12" ht="17" thickBot="1" x14ac:dyDescent="0.25">
      <c r="B157" s="150"/>
      <c r="C157" s="151"/>
      <c r="D157" s="173" t="s">
        <v>72</v>
      </c>
      <c r="E157" s="174"/>
      <c r="F157" s="174"/>
      <c r="G157" s="174"/>
      <c r="H157" s="174"/>
      <c r="I157" s="174"/>
      <c r="J157" s="174"/>
      <c r="K157" s="175"/>
      <c r="L157" s="144"/>
    </row>
    <row r="158" spans="2:12" x14ac:dyDescent="0.2">
      <c r="B158" s="150"/>
      <c r="C158" s="151"/>
      <c r="D158" s="209" t="s">
        <v>90</v>
      </c>
      <c r="E158" s="21" t="s">
        <v>36</v>
      </c>
      <c r="F158" s="21">
        <v>8</v>
      </c>
      <c r="G158" s="21">
        <v>2</v>
      </c>
      <c r="H158" s="210">
        <v>80</v>
      </c>
      <c r="I158" s="22">
        <f t="shared" ref="I158:I160" si="24">F158*G158*H158</f>
        <v>1280</v>
      </c>
      <c r="J158" s="21">
        <v>100</v>
      </c>
      <c r="K158" s="11">
        <f t="shared" ref="K158:K160" si="25">(F158*G158*H158)*((100-J158)/100)</f>
        <v>0</v>
      </c>
      <c r="L158" s="144"/>
    </row>
    <row r="159" spans="2:12" x14ac:dyDescent="0.2">
      <c r="B159" s="171"/>
      <c r="C159" s="172"/>
      <c r="D159" s="130" t="s">
        <v>93</v>
      </c>
      <c r="E159" s="131" t="s">
        <v>36</v>
      </c>
      <c r="F159" s="131">
        <v>1</v>
      </c>
      <c r="G159" s="131">
        <v>2</v>
      </c>
      <c r="H159" s="132">
        <v>80</v>
      </c>
      <c r="I159" s="133">
        <f t="shared" si="24"/>
        <v>160</v>
      </c>
      <c r="J159" s="131">
        <v>100</v>
      </c>
      <c r="K159" s="134">
        <f t="shared" si="25"/>
        <v>0</v>
      </c>
      <c r="L159" s="144"/>
    </row>
    <row r="160" spans="2:12" ht="17" thickBot="1" x14ac:dyDescent="0.25">
      <c r="B160" s="152"/>
      <c r="C160" s="153"/>
      <c r="D160" s="45" t="s">
        <v>91</v>
      </c>
      <c r="E160" s="19" t="s">
        <v>36</v>
      </c>
      <c r="F160" s="19">
        <v>2</v>
      </c>
      <c r="G160" s="19">
        <v>2</v>
      </c>
      <c r="H160" s="127">
        <v>30</v>
      </c>
      <c r="I160" s="20">
        <f t="shared" si="24"/>
        <v>120</v>
      </c>
      <c r="J160" s="19">
        <v>100</v>
      </c>
      <c r="K160" s="13">
        <f t="shared" si="25"/>
        <v>0</v>
      </c>
      <c r="L160" s="145"/>
    </row>
    <row r="161" spans="2:11" ht="17" thickBot="1" x14ac:dyDescent="0.25">
      <c r="B161" s="4"/>
      <c r="C161" s="4"/>
      <c r="H161" s="156" t="s">
        <v>7</v>
      </c>
      <c r="I161" s="157"/>
      <c r="J161" s="158"/>
      <c r="K161" s="18">
        <f>SUM(K131:K160)</f>
        <v>12031.5</v>
      </c>
    </row>
    <row r="162" spans="2:11" ht="17" thickBot="1" x14ac:dyDescent="0.25"/>
    <row r="163" spans="2:11" ht="31" thickBot="1" x14ac:dyDescent="0.25">
      <c r="B163" s="135" t="s">
        <v>48</v>
      </c>
      <c r="C163" s="136"/>
      <c r="D163" s="136"/>
      <c r="E163" s="53" t="s">
        <v>21</v>
      </c>
      <c r="F163" s="43" t="s">
        <v>1</v>
      </c>
      <c r="G163" s="43" t="s">
        <v>2</v>
      </c>
      <c r="H163" s="43" t="s">
        <v>3</v>
      </c>
      <c r="I163" s="43" t="s">
        <v>4</v>
      </c>
      <c r="J163" s="43" t="s">
        <v>5</v>
      </c>
      <c r="K163" s="43" t="s">
        <v>6</v>
      </c>
    </row>
    <row r="164" spans="2:11" ht="17" thickBot="1" x14ac:dyDescent="0.25">
      <c r="B164" s="165" t="s">
        <v>28</v>
      </c>
      <c r="C164" s="166"/>
      <c r="D164" s="63" t="s">
        <v>40</v>
      </c>
      <c r="E164" s="124" t="s">
        <v>22</v>
      </c>
      <c r="F164" s="125">
        <v>1</v>
      </c>
      <c r="G164" s="125">
        <v>2</v>
      </c>
      <c r="H164" s="126">
        <v>200</v>
      </c>
      <c r="I164" s="126">
        <f t="shared" ref="I164:I165" si="26">F164*G164*H164</f>
        <v>400</v>
      </c>
      <c r="J164" s="125">
        <v>35</v>
      </c>
      <c r="K164" s="64">
        <f t="shared" ref="K164:K165" si="27">(F164*G164*H164)*((100-J164)/100)</f>
        <v>260</v>
      </c>
    </row>
    <row r="165" spans="2:11" ht="17" thickBot="1" x14ac:dyDescent="0.25">
      <c r="B165" s="146" t="s">
        <v>29</v>
      </c>
      <c r="C165" s="147"/>
      <c r="D165" s="46" t="s">
        <v>26</v>
      </c>
      <c r="E165" s="2" t="s">
        <v>27</v>
      </c>
      <c r="F165" s="21">
        <v>4</v>
      </c>
      <c r="G165" s="21">
        <v>1</v>
      </c>
      <c r="H165" s="22">
        <v>85</v>
      </c>
      <c r="I165" s="22">
        <f t="shared" si="26"/>
        <v>340</v>
      </c>
      <c r="J165" s="21">
        <v>0</v>
      </c>
      <c r="K165" s="11">
        <f t="shared" si="27"/>
        <v>340</v>
      </c>
    </row>
    <row r="166" spans="2:11" x14ac:dyDescent="0.2">
      <c r="B166" s="135" t="s">
        <v>14</v>
      </c>
      <c r="C166" s="136"/>
      <c r="D166" s="46" t="s">
        <v>15</v>
      </c>
      <c r="E166" s="2" t="s">
        <v>22</v>
      </c>
      <c r="F166" s="21">
        <v>8</v>
      </c>
      <c r="G166" s="21">
        <v>1</v>
      </c>
      <c r="H166" s="22">
        <v>60</v>
      </c>
      <c r="I166" s="22">
        <f t="shared" ref="I166:I167" si="28">F166*G166*H166</f>
        <v>480</v>
      </c>
      <c r="J166" s="21">
        <v>0</v>
      </c>
      <c r="K166" s="11">
        <f t="shared" ref="K166:K167" si="29">(F166*G166*H166)*((100-J166)/100)</f>
        <v>480</v>
      </c>
    </row>
    <row r="167" spans="2:11" ht="17" thickBot="1" x14ac:dyDescent="0.25">
      <c r="B167" s="168"/>
      <c r="C167" s="169"/>
      <c r="D167" s="45" t="s">
        <v>16</v>
      </c>
      <c r="E167" s="3" t="s">
        <v>22</v>
      </c>
      <c r="F167" s="19">
        <v>200</v>
      </c>
      <c r="G167" s="19">
        <v>1</v>
      </c>
      <c r="H167" s="20">
        <v>1.32</v>
      </c>
      <c r="I167" s="20">
        <f t="shared" si="28"/>
        <v>264</v>
      </c>
      <c r="J167" s="19">
        <v>0</v>
      </c>
      <c r="K167" s="13">
        <f t="shared" si="29"/>
        <v>264</v>
      </c>
    </row>
    <row r="168" spans="2:11" ht="17" thickBot="1" x14ac:dyDescent="0.25">
      <c r="H168" s="156" t="s">
        <v>7</v>
      </c>
      <c r="I168" s="157"/>
      <c r="J168" s="158"/>
      <c r="K168" s="18">
        <f>SUM(K164:K167)</f>
        <v>1344</v>
      </c>
    </row>
    <row r="169" spans="2:11" ht="17" thickBot="1" x14ac:dyDescent="0.25">
      <c r="B169" s="4"/>
      <c r="C169" s="4"/>
      <c r="K169" s="5"/>
    </row>
    <row r="170" spans="2:11" ht="31" thickBot="1" x14ac:dyDescent="0.25">
      <c r="B170" s="165" t="s">
        <v>48</v>
      </c>
      <c r="C170" s="166"/>
      <c r="D170" s="167"/>
      <c r="E170" s="53" t="s">
        <v>21</v>
      </c>
      <c r="F170" s="43" t="s">
        <v>1</v>
      </c>
      <c r="G170" s="43" t="s">
        <v>2</v>
      </c>
      <c r="H170" s="43" t="s">
        <v>3</v>
      </c>
      <c r="I170" s="43" t="s">
        <v>4</v>
      </c>
      <c r="J170" s="43" t="s">
        <v>5</v>
      </c>
      <c r="K170" s="43" t="s">
        <v>6</v>
      </c>
    </row>
    <row r="171" spans="2:11" x14ac:dyDescent="0.2">
      <c r="B171" s="128"/>
      <c r="C171" s="208"/>
      <c r="D171" s="201" t="s">
        <v>105</v>
      </c>
      <c r="E171" s="65" t="s">
        <v>22</v>
      </c>
      <c r="F171" s="37">
        <v>17</v>
      </c>
      <c r="G171" s="37">
        <v>1</v>
      </c>
      <c r="H171" s="39">
        <v>900</v>
      </c>
      <c r="I171" s="22">
        <f t="shared" ref="I171:I184" si="30">F171*G171*H171</f>
        <v>15300</v>
      </c>
      <c r="J171" s="21">
        <v>0</v>
      </c>
      <c r="K171" s="11">
        <f t="shared" ref="K171:K184" si="31">(F171*G171*H171)*((100-J171)/100)</f>
        <v>15300</v>
      </c>
    </row>
    <row r="172" spans="2:11" x14ac:dyDescent="0.2">
      <c r="B172" s="42"/>
      <c r="C172" s="129"/>
      <c r="D172" s="202" t="s">
        <v>110</v>
      </c>
      <c r="E172" s="69" t="s">
        <v>22</v>
      </c>
      <c r="F172" s="30">
        <v>2</v>
      </c>
      <c r="G172" s="30">
        <v>3</v>
      </c>
      <c r="H172" s="31">
        <v>900</v>
      </c>
      <c r="I172" s="16">
        <f t="shared" si="30"/>
        <v>5400</v>
      </c>
      <c r="J172" s="48">
        <v>0</v>
      </c>
      <c r="K172" s="12">
        <f t="shared" si="31"/>
        <v>5400</v>
      </c>
    </row>
    <row r="173" spans="2:11" ht="17" customHeight="1" x14ac:dyDescent="0.2">
      <c r="B173" s="139" t="s">
        <v>33</v>
      </c>
      <c r="C173" s="154"/>
      <c r="D173" s="203" t="s">
        <v>111</v>
      </c>
      <c r="E173" s="66" t="s">
        <v>22</v>
      </c>
      <c r="F173" s="54">
        <v>2</v>
      </c>
      <c r="G173" s="30">
        <v>3</v>
      </c>
      <c r="H173" s="31">
        <v>900</v>
      </c>
      <c r="I173" s="16">
        <f t="shared" si="30"/>
        <v>5400</v>
      </c>
      <c r="J173" s="48">
        <v>0</v>
      </c>
      <c r="K173" s="12">
        <f t="shared" si="31"/>
        <v>5400</v>
      </c>
    </row>
    <row r="174" spans="2:11" x14ac:dyDescent="0.2">
      <c r="B174" s="139"/>
      <c r="C174" s="154"/>
      <c r="D174" s="203" t="s">
        <v>112</v>
      </c>
      <c r="E174" s="66" t="s">
        <v>22</v>
      </c>
      <c r="F174" s="54">
        <v>2</v>
      </c>
      <c r="G174" s="30">
        <v>3</v>
      </c>
      <c r="H174" s="31">
        <v>900</v>
      </c>
      <c r="I174" s="16">
        <f t="shared" si="30"/>
        <v>5400</v>
      </c>
      <c r="J174" s="48">
        <v>0</v>
      </c>
      <c r="K174" s="12">
        <f t="shared" si="31"/>
        <v>5400</v>
      </c>
    </row>
    <row r="175" spans="2:11" x14ac:dyDescent="0.2">
      <c r="B175" s="139"/>
      <c r="C175" s="154"/>
      <c r="D175" s="203" t="s">
        <v>113</v>
      </c>
      <c r="E175" s="66" t="s">
        <v>22</v>
      </c>
      <c r="F175" s="54">
        <v>2</v>
      </c>
      <c r="G175" s="30">
        <v>3</v>
      </c>
      <c r="H175" s="31">
        <v>900</v>
      </c>
      <c r="I175" s="16">
        <f t="shared" si="30"/>
        <v>5400</v>
      </c>
      <c r="J175" s="48">
        <v>0</v>
      </c>
      <c r="K175" s="12">
        <f t="shared" si="31"/>
        <v>5400</v>
      </c>
    </row>
    <row r="176" spans="2:11" x14ac:dyDescent="0.2">
      <c r="B176" s="139"/>
      <c r="C176" s="154"/>
      <c r="D176" s="203" t="s">
        <v>114</v>
      </c>
      <c r="E176" s="66" t="s">
        <v>22</v>
      </c>
      <c r="F176" s="54">
        <v>1</v>
      </c>
      <c r="G176" s="30">
        <v>2</v>
      </c>
      <c r="H176" s="31">
        <v>900</v>
      </c>
      <c r="I176" s="16">
        <f t="shared" si="30"/>
        <v>1800</v>
      </c>
      <c r="J176" s="48">
        <v>0</v>
      </c>
      <c r="K176" s="12">
        <f t="shared" si="31"/>
        <v>1800</v>
      </c>
    </row>
    <row r="177" spans="2:12" x14ac:dyDescent="0.2">
      <c r="B177" s="139"/>
      <c r="C177" s="154"/>
      <c r="D177" s="204" t="s">
        <v>115</v>
      </c>
      <c r="E177" s="66" t="s">
        <v>22</v>
      </c>
      <c r="F177" s="54">
        <v>1</v>
      </c>
      <c r="G177" s="30">
        <v>2</v>
      </c>
      <c r="H177" s="31">
        <v>900</v>
      </c>
      <c r="I177" s="16">
        <f t="shared" si="30"/>
        <v>1800</v>
      </c>
      <c r="J177" s="48">
        <v>0</v>
      </c>
      <c r="K177" s="12">
        <f t="shared" si="31"/>
        <v>1800</v>
      </c>
    </row>
    <row r="178" spans="2:12" x14ac:dyDescent="0.2">
      <c r="B178" s="139"/>
      <c r="C178" s="154"/>
      <c r="D178" s="203" t="s">
        <v>116</v>
      </c>
      <c r="E178" s="66" t="s">
        <v>22</v>
      </c>
      <c r="F178" s="54">
        <v>1</v>
      </c>
      <c r="G178" s="30">
        <v>2</v>
      </c>
      <c r="H178" s="31">
        <v>900</v>
      </c>
      <c r="I178" s="16">
        <f t="shared" si="30"/>
        <v>1800</v>
      </c>
      <c r="J178" s="48">
        <v>0</v>
      </c>
      <c r="K178" s="12">
        <f t="shared" si="31"/>
        <v>1800</v>
      </c>
    </row>
    <row r="179" spans="2:12" x14ac:dyDescent="0.2">
      <c r="B179" s="139"/>
      <c r="C179" s="154"/>
      <c r="D179" s="203" t="s">
        <v>106</v>
      </c>
      <c r="E179" s="24" t="s">
        <v>22</v>
      </c>
      <c r="F179" s="30">
        <v>2</v>
      </c>
      <c r="G179" s="30">
        <v>2</v>
      </c>
      <c r="H179" s="31">
        <v>900</v>
      </c>
      <c r="I179" s="16">
        <f t="shared" si="30"/>
        <v>3600</v>
      </c>
      <c r="J179" s="48">
        <v>0</v>
      </c>
      <c r="K179" s="12">
        <f t="shared" si="31"/>
        <v>3600</v>
      </c>
    </row>
    <row r="180" spans="2:12" x14ac:dyDescent="0.2">
      <c r="B180" s="139"/>
      <c r="C180" s="154"/>
      <c r="D180" s="203" t="s">
        <v>107</v>
      </c>
      <c r="E180" s="24" t="s">
        <v>22</v>
      </c>
      <c r="F180" s="30">
        <v>1</v>
      </c>
      <c r="G180" s="30">
        <v>2</v>
      </c>
      <c r="H180" s="31">
        <v>900</v>
      </c>
      <c r="I180" s="16">
        <f t="shared" si="30"/>
        <v>1800</v>
      </c>
      <c r="J180" s="48">
        <v>0</v>
      </c>
      <c r="K180" s="12">
        <f t="shared" si="31"/>
        <v>1800</v>
      </c>
    </row>
    <row r="181" spans="2:12" x14ac:dyDescent="0.2">
      <c r="B181" s="139"/>
      <c r="C181" s="154"/>
      <c r="D181" s="203" t="s">
        <v>96</v>
      </c>
      <c r="E181" s="66" t="s">
        <v>22</v>
      </c>
      <c r="F181" s="54">
        <v>1</v>
      </c>
      <c r="G181" s="30">
        <v>3</v>
      </c>
      <c r="H181" s="31">
        <v>1200</v>
      </c>
      <c r="I181" s="16">
        <f t="shared" si="30"/>
        <v>3600</v>
      </c>
      <c r="J181" s="48">
        <v>0</v>
      </c>
      <c r="K181" s="12">
        <f t="shared" si="31"/>
        <v>3600</v>
      </c>
    </row>
    <row r="182" spans="2:12" x14ac:dyDescent="0.2">
      <c r="B182" s="139"/>
      <c r="C182" s="154"/>
      <c r="D182" s="203" t="s">
        <v>97</v>
      </c>
      <c r="E182" s="24" t="s">
        <v>22</v>
      </c>
      <c r="F182" s="30"/>
      <c r="G182" s="30"/>
      <c r="H182" s="31"/>
      <c r="I182" s="16">
        <f t="shared" si="30"/>
        <v>0</v>
      </c>
      <c r="J182" s="48">
        <v>0</v>
      </c>
      <c r="K182" s="12">
        <v>10000</v>
      </c>
    </row>
    <row r="183" spans="2:12" x14ac:dyDescent="0.2">
      <c r="B183" s="139"/>
      <c r="C183" s="154"/>
      <c r="D183" s="203" t="s">
        <v>108</v>
      </c>
      <c r="E183" s="66" t="s">
        <v>22</v>
      </c>
      <c r="F183" s="54">
        <v>9</v>
      </c>
      <c r="G183" s="30">
        <v>3</v>
      </c>
      <c r="H183" s="31">
        <v>250</v>
      </c>
      <c r="I183" s="16">
        <f t="shared" si="30"/>
        <v>6750</v>
      </c>
      <c r="J183" s="48">
        <v>0</v>
      </c>
      <c r="K183" s="12">
        <f t="shared" si="31"/>
        <v>6750</v>
      </c>
    </row>
    <row r="184" spans="2:12" x14ac:dyDescent="0.2">
      <c r="B184" s="139"/>
      <c r="C184" s="154"/>
      <c r="D184" s="205" t="s">
        <v>109</v>
      </c>
      <c r="E184" s="24" t="s">
        <v>22</v>
      </c>
      <c r="F184" s="32">
        <v>2</v>
      </c>
      <c r="G184" s="32">
        <v>1</v>
      </c>
      <c r="H184" s="33">
        <v>600</v>
      </c>
      <c r="I184" s="16">
        <f t="shared" si="30"/>
        <v>1200</v>
      </c>
      <c r="J184" s="48">
        <v>0</v>
      </c>
      <c r="K184" s="12">
        <f t="shared" si="31"/>
        <v>1200</v>
      </c>
    </row>
    <row r="185" spans="2:12" x14ac:dyDescent="0.2">
      <c r="B185" s="139"/>
      <c r="C185" s="154"/>
      <c r="D185" s="206"/>
      <c r="E185" s="26" t="s">
        <v>22</v>
      </c>
      <c r="F185" s="34"/>
      <c r="G185" s="34"/>
      <c r="H185" s="35"/>
      <c r="I185" s="16">
        <f t="shared" ref="I185" si="32">F185*G185*H185</f>
        <v>0</v>
      </c>
      <c r="J185" s="48">
        <v>0</v>
      </c>
      <c r="K185" s="12">
        <f t="shared" ref="K185" si="33">(F185*G185*H185)*((100-J185)/100)</f>
        <v>0</v>
      </c>
    </row>
    <row r="186" spans="2:12" ht="17" thickBot="1" x14ac:dyDescent="0.25">
      <c r="B186" s="141"/>
      <c r="C186" s="155"/>
      <c r="D186" s="207"/>
      <c r="E186" s="25" t="s">
        <v>22</v>
      </c>
      <c r="F186" s="67"/>
      <c r="G186" s="67"/>
      <c r="H186" s="68"/>
      <c r="I186" s="20">
        <f t="shared" ref="I186" si="34">F186*G186*H186</f>
        <v>0</v>
      </c>
      <c r="J186" s="19">
        <v>0</v>
      </c>
      <c r="K186" s="13">
        <f t="shared" ref="K186" si="35">(F186*G186*H186)*((100-J186)/100)</f>
        <v>0</v>
      </c>
    </row>
    <row r="187" spans="2:12" ht="17" thickBot="1" x14ac:dyDescent="0.25">
      <c r="B187" s="6"/>
      <c r="C187" s="6"/>
      <c r="H187" s="156" t="s">
        <v>7</v>
      </c>
      <c r="I187" s="157"/>
      <c r="J187" s="158"/>
      <c r="K187" s="18">
        <f>SUM(K171:K186)</f>
        <v>69250</v>
      </c>
      <c r="L187" s="29" t="s">
        <v>24</v>
      </c>
    </row>
    <row r="188" spans="2:12" ht="17" thickBot="1" x14ac:dyDescent="0.25">
      <c r="B188" s="4"/>
      <c r="C188" s="4"/>
      <c r="K188" s="5"/>
    </row>
    <row r="189" spans="2:12" ht="31" thickBot="1" x14ac:dyDescent="0.25">
      <c r="B189" s="165" t="s">
        <v>48</v>
      </c>
      <c r="C189" s="166"/>
      <c r="D189" s="167"/>
      <c r="E189" s="27" t="s">
        <v>21</v>
      </c>
      <c r="F189" s="7" t="s">
        <v>1</v>
      </c>
      <c r="G189" s="7" t="s">
        <v>2</v>
      </c>
      <c r="H189" s="7" t="s">
        <v>3</v>
      </c>
      <c r="I189" s="7" t="s">
        <v>4</v>
      </c>
      <c r="J189" s="7" t="s">
        <v>5</v>
      </c>
      <c r="K189" s="7" t="s">
        <v>6</v>
      </c>
    </row>
    <row r="190" spans="2:12" x14ac:dyDescent="0.2">
      <c r="B190" s="137" t="s">
        <v>87</v>
      </c>
      <c r="C190" s="138"/>
      <c r="D190" s="46"/>
      <c r="E190" s="23" t="s">
        <v>36</v>
      </c>
      <c r="F190" s="15"/>
      <c r="G190" s="15"/>
      <c r="H190" s="8"/>
      <c r="I190" s="8">
        <f>F190*G190*H190</f>
        <v>0</v>
      </c>
      <c r="J190" s="15">
        <v>0</v>
      </c>
      <c r="K190" s="11">
        <f>(F190*G190*H190)*((100-J190)/100)</f>
        <v>0</v>
      </c>
    </row>
    <row r="191" spans="2:12" x14ac:dyDescent="0.2">
      <c r="B191" s="139"/>
      <c r="C191" s="140"/>
      <c r="D191" s="47"/>
      <c r="E191" s="1" t="s">
        <v>36</v>
      </c>
      <c r="F191" s="17"/>
      <c r="G191" s="17"/>
      <c r="H191" s="14"/>
      <c r="I191" s="9">
        <f t="shared" ref="I191:I192" si="36">F191*G191*H191</f>
        <v>0</v>
      </c>
      <c r="J191" s="17">
        <v>0</v>
      </c>
      <c r="K191" s="12">
        <f t="shared" ref="K191:K192" si="37">(F191*G191*H191)*((100-J191)/100)</f>
        <v>0</v>
      </c>
    </row>
    <row r="192" spans="2:12" ht="17" thickBot="1" x14ac:dyDescent="0.25">
      <c r="B192" s="141"/>
      <c r="C192" s="142"/>
      <c r="D192" s="49"/>
      <c r="E192" s="50" t="s">
        <v>36</v>
      </c>
      <c r="F192" s="51"/>
      <c r="G192" s="51"/>
      <c r="H192" s="52"/>
      <c r="I192" s="10">
        <f t="shared" si="36"/>
        <v>0</v>
      </c>
      <c r="J192" s="51">
        <v>0</v>
      </c>
      <c r="K192" s="13">
        <f t="shared" si="37"/>
        <v>0</v>
      </c>
    </row>
    <row r="193" spans="2:11" ht="17" thickBot="1" x14ac:dyDescent="0.25">
      <c r="B193" s="6"/>
      <c r="C193" s="6"/>
      <c r="H193" s="156" t="s">
        <v>7</v>
      </c>
      <c r="I193" s="157"/>
      <c r="J193" s="158"/>
      <c r="K193" s="18">
        <f>SUM(K190:K192)</f>
        <v>0</v>
      </c>
    </row>
    <row r="194" spans="2:11" ht="17" customHeight="1" x14ac:dyDescent="0.2">
      <c r="B194" s="4"/>
      <c r="C194" s="4"/>
      <c r="K194" s="5"/>
    </row>
    <row r="195" spans="2:11" ht="17" thickBot="1" x14ac:dyDescent="0.25"/>
    <row r="196" spans="2:11" ht="17" thickBot="1" x14ac:dyDescent="0.25">
      <c r="F196" s="162" t="s">
        <v>17</v>
      </c>
      <c r="G196" s="163"/>
      <c r="H196" s="163"/>
      <c r="I196" s="164"/>
      <c r="J196" s="170">
        <f>K41+K82+K128+K161+K168+K187+K193</f>
        <v>228491.5</v>
      </c>
      <c r="K196" s="164"/>
    </row>
    <row r="199" spans="2:11" x14ac:dyDescent="0.2">
      <c r="K199" s="41"/>
    </row>
  </sheetData>
  <mergeCells count="41">
    <mergeCell ref="D66:K66"/>
    <mergeCell ref="D72:K72"/>
    <mergeCell ref="D151:K151"/>
    <mergeCell ref="D157:K157"/>
    <mergeCell ref="D85:K85"/>
    <mergeCell ref="D107:K107"/>
    <mergeCell ref="D116:K116"/>
    <mergeCell ref="D131:K131"/>
    <mergeCell ref="H128:J128"/>
    <mergeCell ref="B163:D163"/>
    <mergeCell ref="L131:L160"/>
    <mergeCell ref="H161:J161"/>
    <mergeCell ref="B131:C160"/>
    <mergeCell ref="H187:J187"/>
    <mergeCell ref="B164:C164"/>
    <mergeCell ref="F196:I196"/>
    <mergeCell ref="B189:D189"/>
    <mergeCell ref="B190:C192"/>
    <mergeCell ref="H193:J193"/>
    <mergeCell ref="B165:C165"/>
    <mergeCell ref="H168:J168"/>
    <mergeCell ref="B166:C167"/>
    <mergeCell ref="B170:D170"/>
    <mergeCell ref="B173:C186"/>
    <mergeCell ref="J196:K196"/>
    <mergeCell ref="B3:D3"/>
    <mergeCell ref="B4:C40"/>
    <mergeCell ref="L44:L81"/>
    <mergeCell ref="B84:D84"/>
    <mergeCell ref="B130:D130"/>
    <mergeCell ref="B43:D43"/>
    <mergeCell ref="B85:C127"/>
    <mergeCell ref="L4:L40"/>
    <mergeCell ref="L85:L127"/>
    <mergeCell ref="B44:C81"/>
    <mergeCell ref="H82:J82"/>
    <mergeCell ref="H41:J41"/>
    <mergeCell ref="D4:K4"/>
    <mergeCell ref="D26:K26"/>
    <mergeCell ref="D32:K32"/>
    <mergeCell ref="D44:K44"/>
  </mergeCells>
  <phoneticPr fontId="3" type="noConversion"/>
  <pageMargins left="0.7" right="0.7" top="0.75" bottom="0.75" header="0.3" footer="0.3"/>
  <pageSetup paperSize="9" scale="66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Wycena</vt:lpstr>
      <vt:lpstr>Wycena!Obszar_wydruku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Użytkownik Microsoft Office</dc:creator>
  <cp:lastModifiedBy>Dominik Kuźma</cp:lastModifiedBy>
  <cp:lastPrinted>2018-05-12T09:39:11Z</cp:lastPrinted>
  <dcterms:created xsi:type="dcterms:W3CDTF">2016-05-10T20:22:25Z</dcterms:created>
  <dcterms:modified xsi:type="dcterms:W3CDTF">2026-07-09T16:21:21Z</dcterms:modified>
</cp:coreProperties>
</file>