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dominikkuzma/Documents/_Dokumenty/Klienci i zlecenia/PTWP EC/2026 Future mining/"/>
    </mc:Choice>
  </mc:AlternateContent>
  <xr:revisionPtr revIDLastSave="0" documentId="13_ncr:1_{125B65D1-DA62-AF40-A78F-F22D072CD429}" xr6:coauthVersionLast="47" xr6:coauthVersionMax="47" xr10:uidLastSave="{00000000-0000-0000-0000-000000000000}"/>
  <bookViews>
    <workbookView xWindow="-60160" yWindow="-620" windowWidth="29520" windowHeight="31660" tabRatio="500" xr2:uid="{00000000-000D-0000-FFFF-FFFF00000000}"/>
  </bookViews>
  <sheets>
    <sheet name="Wycena" sheetId="1" r:id="rId1"/>
  </sheets>
  <definedNames>
    <definedName name="_xlnm.Print_Area" localSheetId="0">Wycena!$B$3:$K$136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6" i="1" l="1"/>
  <c r="I116" i="1"/>
  <c r="K98" i="1"/>
  <c r="I98" i="1"/>
  <c r="K132" i="1"/>
  <c r="I132" i="1"/>
  <c r="K53" i="1"/>
  <c r="I53" i="1"/>
  <c r="K26" i="1"/>
  <c r="I26" i="1"/>
  <c r="K54" i="1"/>
  <c r="I54" i="1"/>
  <c r="K52" i="1"/>
  <c r="I52" i="1"/>
  <c r="K50" i="1"/>
  <c r="I50" i="1"/>
  <c r="K49" i="1"/>
  <c r="I49" i="1"/>
  <c r="K48" i="1"/>
  <c r="I48" i="1"/>
  <c r="K47" i="1"/>
  <c r="I47" i="1"/>
  <c r="K46" i="1"/>
  <c r="I46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27" i="1"/>
  <c r="I27" i="1"/>
  <c r="K25" i="1"/>
  <c r="I25" i="1"/>
  <c r="K133" i="1"/>
  <c r="I133" i="1"/>
  <c r="K131" i="1"/>
  <c r="I131" i="1"/>
  <c r="K129" i="1" l="1"/>
  <c r="I129" i="1"/>
  <c r="K128" i="1"/>
  <c r="I128" i="1"/>
  <c r="K127" i="1"/>
  <c r="I127" i="1"/>
  <c r="K126" i="1"/>
  <c r="I126" i="1"/>
  <c r="K125" i="1"/>
  <c r="I125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72" i="1" l="1"/>
  <c r="I72" i="1"/>
  <c r="K99" i="1"/>
  <c r="I99" i="1"/>
  <c r="K97" i="1"/>
  <c r="I97" i="1"/>
  <c r="K96" i="1"/>
  <c r="I96" i="1"/>
  <c r="K66" i="1"/>
  <c r="I66" i="1"/>
  <c r="K76" i="1"/>
  <c r="I76" i="1"/>
  <c r="K95" i="1"/>
  <c r="I95" i="1"/>
  <c r="K94" i="1"/>
  <c r="I94" i="1"/>
  <c r="K93" i="1"/>
  <c r="I93" i="1"/>
  <c r="K92" i="1"/>
  <c r="I92" i="1"/>
  <c r="K91" i="1"/>
  <c r="I91" i="1"/>
  <c r="K90" i="1"/>
  <c r="I90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79" i="1"/>
  <c r="I79" i="1"/>
  <c r="K78" i="1"/>
  <c r="I78" i="1"/>
  <c r="K77" i="1"/>
  <c r="I77" i="1"/>
  <c r="K75" i="1"/>
  <c r="I75" i="1"/>
  <c r="K74" i="1"/>
  <c r="I74" i="1"/>
  <c r="K73" i="1"/>
  <c r="I73" i="1"/>
  <c r="K71" i="1"/>
  <c r="I71" i="1"/>
  <c r="K70" i="1"/>
  <c r="I70" i="1"/>
  <c r="K69" i="1"/>
  <c r="I69" i="1"/>
  <c r="K68" i="1"/>
  <c r="I68" i="1"/>
  <c r="K67" i="1"/>
  <c r="I67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100" i="1" l="1"/>
  <c r="K17" i="1" l="1"/>
  <c r="I17" i="1"/>
  <c r="K16" i="1"/>
  <c r="I16" i="1"/>
  <c r="K5" i="1" l="1"/>
  <c r="I5" i="1"/>
  <c r="K151" i="1"/>
  <c r="K152" i="1"/>
  <c r="K153" i="1"/>
  <c r="I151" i="1"/>
  <c r="I152" i="1"/>
  <c r="I153" i="1"/>
  <c r="K6" i="1" l="1"/>
  <c r="K7" i="1"/>
  <c r="K8" i="1"/>
  <c r="K9" i="1"/>
  <c r="K10" i="1"/>
  <c r="K11" i="1"/>
  <c r="K12" i="1"/>
  <c r="K13" i="1"/>
  <c r="K14" i="1"/>
  <c r="K15" i="1"/>
  <c r="K19" i="1"/>
  <c r="K20" i="1"/>
  <c r="K21" i="1"/>
  <c r="K22" i="1"/>
  <c r="K23" i="1"/>
  <c r="I6" i="1"/>
  <c r="I7" i="1"/>
  <c r="I8" i="1"/>
  <c r="I9" i="1"/>
  <c r="I10" i="1"/>
  <c r="I11" i="1"/>
  <c r="I12" i="1"/>
  <c r="I13" i="1"/>
  <c r="I14" i="1"/>
  <c r="I15" i="1"/>
  <c r="I19" i="1"/>
  <c r="I20" i="1"/>
  <c r="I21" i="1"/>
  <c r="I22" i="1"/>
  <c r="I23" i="1"/>
  <c r="K156" i="1"/>
  <c r="I156" i="1"/>
  <c r="I157" i="1"/>
  <c r="K145" i="1" l="1"/>
  <c r="I145" i="1"/>
  <c r="K164" i="1"/>
  <c r="I164" i="1"/>
  <c r="I154" i="1" l="1"/>
  <c r="K150" i="1" l="1"/>
  <c r="I150" i="1"/>
  <c r="I139" i="1" l="1"/>
  <c r="K139" i="1"/>
  <c r="I140" i="1"/>
  <c r="K140" i="1"/>
  <c r="K144" i="1" l="1"/>
  <c r="I144" i="1"/>
  <c r="K28" i="1"/>
  <c r="K149" i="1" l="1"/>
  <c r="I149" i="1"/>
  <c r="K134" i="1" l="1"/>
  <c r="I137" i="1"/>
  <c r="K137" i="1"/>
  <c r="K163" i="1"/>
  <c r="I163" i="1"/>
  <c r="K162" i="1"/>
  <c r="I162" i="1"/>
  <c r="K165" i="1" l="1"/>
  <c r="K157" i="1"/>
  <c r="K155" i="1"/>
  <c r="I155" i="1"/>
  <c r="K147" i="1"/>
  <c r="I147" i="1"/>
  <c r="K146" i="1" l="1"/>
  <c r="I146" i="1"/>
  <c r="K148" i="1" l="1"/>
  <c r="I148" i="1"/>
  <c r="K158" i="1" l="1"/>
  <c r="K159" i="1" s="1"/>
  <c r="I158" i="1"/>
  <c r="K138" i="1" l="1"/>
  <c r="I138" i="1"/>
  <c r="K55" i="1"/>
  <c r="K141" i="1" l="1"/>
  <c r="J168" i="1" s="1"/>
</calcChain>
</file>

<file path=xl/sharedStrings.xml><?xml version="1.0" encoding="utf-8"?>
<sst xmlns="http://schemas.openxmlformats.org/spreadsheetml/2006/main" count="351" uniqueCount="109">
  <si>
    <t>System do streamingu do intenretu (YT i FB)</t>
  </si>
  <si>
    <t>Ilość szt.</t>
  </si>
  <si>
    <t>Liczba dni</t>
  </si>
  <si>
    <t>Cena netto za szt.</t>
  </si>
  <si>
    <t>Wartość netto przed rabatem</t>
  </si>
  <si>
    <t>Rabat (%)</t>
  </si>
  <si>
    <t>Wartość netto po rabacie</t>
  </si>
  <si>
    <t>SUMA</t>
  </si>
  <si>
    <t>Laptopy do realizacji wizji</t>
  </si>
  <si>
    <t>Mikrofon bezprzewodowy</t>
  </si>
  <si>
    <t>Sterownik oświetlenia</t>
  </si>
  <si>
    <t>Spliter HDMI</t>
  </si>
  <si>
    <t>Karta przechwytująca Video - usb</t>
  </si>
  <si>
    <t>Interfejs Audio</t>
  </si>
  <si>
    <t xml:space="preserve">Cyfrowy mikser audio </t>
  </si>
  <si>
    <t>Materiały eksploatacyjne</t>
  </si>
  <si>
    <t>Taśma (gafa)</t>
  </si>
  <si>
    <t>Bateria AA</t>
  </si>
  <si>
    <t>SUAM</t>
  </si>
  <si>
    <t>Router</t>
  </si>
  <si>
    <t>Switch 8in</t>
  </si>
  <si>
    <t>UPS - zasilacz awaryjny realizatorki</t>
  </si>
  <si>
    <t>Firma</t>
  </si>
  <si>
    <t>Pixel</t>
  </si>
  <si>
    <t>Obsługa</t>
  </si>
  <si>
    <t/>
  </si>
  <si>
    <t>Aktywna kolumna głośnikowa</t>
  </si>
  <si>
    <t>Licencje Zoom</t>
  </si>
  <si>
    <t>PTWP</t>
  </si>
  <si>
    <t>Punkt wdzwaniania</t>
  </si>
  <si>
    <t>Zoom/streaming/mikrofony</t>
  </si>
  <si>
    <t>Timer z monitorem 22"</t>
  </si>
  <si>
    <t>Kamera na statywie SONY</t>
  </si>
  <si>
    <t>Aktywna kolumna głośnikowa (odsłuch)</t>
  </si>
  <si>
    <t>Obsługa Pixel</t>
  </si>
  <si>
    <t>Scena SW 1</t>
  </si>
  <si>
    <t>Scena SW 2</t>
  </si>
  <si>
    <t>MCK</t>
  </si>
  <si>
    <t>Laptop</t>
  </si>
  <si>
    <t>Laptop do połączeń ZOOM</t>
  </si>
  <si>
    <t>Laptop do realizacji wizji</t>
  </si>
  <si>
    <t>Realizacja vMix - Pixel
Realizacja Dźwieku - Pixel
Prezentacje/Zoom - Pixel
Operator Kamery - Pixel</t>
  </si>
  <si>
    <t>Monitor 55" na podgląd</t>
  </si>
  <si>
    <t>Monitor LED 85"</t>
  </si>
  <si>
    <t xml:space="preserve">Sterownik oświetlenia </t>
  </si>
  <si>
    <t>Future Mining 9-11.2026</t>
  </si>
  <si>
    <t>Wideo</t>
  </si>
  <si>
    <t>Dźwięk</t>
  </si>
  <si>
    <t>Światło</t>
  </si>
  <si>
    <t>Balowa C</t>
  </si>
  <si>
    <t>Novastar MCTRL 4K</t>
  </si>
  <si>
    <t>Światłowód MPO 12 100m na bębnie</t>
  </si>
  <si>
    <t>Novastar CVT4K konwerter światłowodowy</t>
  </si>
  <si>
    <t>Alustage Kratownica Quadro 2m czarna</t>
  </si>
  <si>
    <t>Alustage Kratownica Quadro 1m czarna</t>
  </si>
  <si>
    <t>Alustage Podstawa do kratownicy 80x80cm czarna</t>
  </si>
  <si>
    <t>Barco S3 jr</t>
  </si>
  <si>
    <t>Mac Studio M1 MAX</t>
  </si>
  <si>
    <t>System do streamingu do internetu (YT i FB)</t>
  </si>
  <si>
    <t>Podgląd 55'</t>
  </si>
  <si>
    <t>Laptop timer</t>
  </si>
  <si>
    <t>Kamera na statywie Sony FX6</t>
  </si>
  <si>
    <t>Balast 25 KG</t>
  </si>
  <si>
    <t>Audio</t>
  </si>
  <si>
    <t>L'acoustics X12</t>
  </si>
  <si>
    <t>L'acoustics X8 odsłuch</t>
  </si>
  <si>
    <t>L'acoustics KS21</t>
  </si>
  <si>
    <t>L'acoustics LA4X wzmacniacz</t>
  </si>
  <si>
    <t>Odsłuch douszny IEM</t>
  </si>
  <si>
    <t>Oświetlenie</t>
  </si>
  <si>
    <t>Oświetlenie sceny (Ayrton Stradale)</t>
  </si>
  <si>
    <t xml:space="preserve">Brighter Naświetlacz ATOM R+ </t>
  </si>
  <si>
    <t>Martin MAC Aura XIP</t>
  </si>
  <si>
    <t>Martin MAC Quantum Profile gobo</t>
  </si>
  <si>
    <t>Bramka artnet</t>
  </si>
  <si>
    <t>Chamsys MQ250M</t>
  </si>
  <si>
    <t>Podest pod kamerę 2x1m</t>
  </si>
  <si>
    <t>Rozdzielnica Pixel 63A</t>
  </si>
  <si>
    <t xml:space="preserve">Realizacja vMix - Pixel
Realizacja Dźwieku - Pixel
Prezentacje/Zoom - Pixel
Realizator Kamery - Pixel
Realizator Światła - Pixel
</t>
  </si>
  <si>
    <t>Laptop Zoom</t>
  </si>
  <si>
    <t>Cyfrowy mikser audio  SQ-5</t>
  </si>
  <si>
    <t>Scena Hol Dolny</t>
  </si>
  <si>
    <t>Absen Kabinet LED PL2.5 Plus V2  (ekran 5x3m)</t>
  </si>
  <si>
    <t>Absen Kabinet LED PL2.5 Plus V2  (ekran 8x3m)</t>
  </si>
  <si>
    <t>Obsługa MCK</t>
  </si>
  <si>
    <t>Podgląd 48"</t>
  </si>
  <si>
    <t xml:space="preserve">Kamera na statywie Sony </t>
  </si>
  <si>
    <t>Cameo CL200</t>
  </si>
  <si>
    <t>Statyw oświetleniowy</t>
  </si>
  <si>
    <t>Cyfrowy Mikser obrazu Analog Way Pulse2</t>
  </si>
  <si>
    <t xml:space="preserve">Realizacja vMix - Pixel
Realizacja Dźwieku - Pixel
Prezentacje/Zoom - Pixel
</t>
  </si>
  <si>
    <t xml:space="preserve">Realizacja vMix - MCK
Realizacja Dźwieku - MCK
Prezentacje/Zoom - MCK
</t>
  </si>
  <si>
    <t>Alustage Podstawa do kratownicy 80x80 cm czarna (pod quantum)</t>
  </si>
  <si>
    <t>Wciągarka 1T + linka stalowa zabezpieczająca + steelflex</t>
  </si>
  <si>
    <t>Pixelhue P20</t>
  </si>
  <si>
    <t>Macbook Pro z resolume</t>
  </si>
  <si>
    <t>Technik - montaż</t>
  </si>
  <si>
    <t>Realizator Vmix SW1</t>
  </si>
  <si>
    <t>Realizator Dźwięku SW1</t>
  </si>
  <si>
    <t>Technik multimediów - zoom SW1</t>
  </si>
  <si>
    <t>Operator kamery BC/SHD</t>
  </si>
  <si>
    <t>Realizator światła BC</t>
  </si>
  <si>
    <t>Realizator Vmix BC/SHD</t>
  </si>
  <si>
    <t>Realizator Dźwięku BC/SHD</t>
  </si>
  <si>
    <t>Technik multimediów - zoom BC/SHD</t>
  </si>
  <si>
    <t>Logistyka</t>
  </si>
  <si>
    <t>Noclegi</t>
  </si>
  <si>
    <t>Koordynator</t>
  </si>
  <si>
    <t>Obsługa bankietu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</si>
</sst>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_);[Red]\(#,##0.00\ &quot;zł&quot;\)"/>
    <numFmt numFmtId="44" formatCode="_ * #,##0.00_)\ &quot;zł&quot;_ ;_ * \(#,##0.00\)\ &quot;zł&quot;_ ;_ * &quot;-&quot;??_)\ &quot;zł&quot;_ ;_ @_ 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4" fontId="0" fillId="0" borderId="18" xfId="3" applyFont="1" applyBorder="1"/>
    <xf numFmtId="44" fontId="0" fillId="0" borderId="19" xfId="3" applyFont="1" applyBorder="1"/>
    <xf numFmtId="44" fontId="0" fillId="0" borderId="21" xfId="3" applyFont="1" applyBorder="1"/>
    <xf numFmtId="44" fontId="0" fillId="0" borderId="3" xfId="3" applyFont="1" applyBorder="1" applyAlignment="1">
      <alignment horizontal="center"/>
    </xf>
    <xf numFmtId="44" fontId="0" fillId="0" borderId="5" xfId="3" applyFont="1" applyBorder="1" applyAlignment="1">
      <alignment horizontal="center"/>
    </xf>
    <xf numFmtId="44" fontId="0" fillId="0" borderId="8" xfId="3" applyFont="1" applyBorder="1" applyAlignment="1">
      <alignment horizontal="center"/>
    </xf>
    <xf numFmtId="44" fontId="0" fillId="0" borderId="22" xfId="3" applyFont="1" applyBorder="1"/>
    <xf numFmtId="0" fontId="0" fillId="0" borderId="18" xfId="0" applyBorder="1" applyAlignment="1">
      <alignment horizontal="center"/>
    </xf>
    <xf numFmtId="44" fontId="0" fillId="0" borderId="1" xfId="3" applyFont="1" applyBorder="1"/>
    <xf numFmtId="0" fontId="0" fillId="0" borderId="22" xfId="0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3" applyFont="1" applyBorder="1"/>
    <xf numFmtId="0" fontId="0" fillId="0" borderId="2" xfId="0" applyBorder="1" applyAlignment="1">
      <alignment horizontal="center"/>
    </xf>
    <xf numFmtId="44" fontId="0" fillId="0" borderId="2" xfId="3" applyFont="1" applyBorder="1"/>
    <xf numFmtId="0" fontId="0" fillId="0" borderId="18" xfId="0" applyBorder="1"/>
    <xf numFmtId="0" fontId="0" fillId="0" borderId="22" xfId="0" applyBorder="1"/>
    <xf numFmtId="0" fontId="0" fillId="0" borderId="21" xfId="0" applyBorder="1"/>
    <xf numFmtId="0" fontId="0" fillId="0" borderId="26" xfId="0" applyBorder="1"/>
    <xf numFmtId="0" fontId="0" fillId="0" borderId="17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0" xfId="0" quotePrefix="1"/>
    <xf numFmtId="0" fontId="7" fillId="0" borderId="22" xfId="0" applyFont="1" applyBorder="1" applyAlignment="1">
      <alignment horizontal="center"/>
    </xf>
    <xf numFmtId="8" fontId="7" fillId="0" borderId="22" xfId="0" applyNumberFormat="1" applyFont="1" applyBorder="1"/>
    <xf numFmtId="0" fontId="7" fillId="0" borderId="19" xfId="0" applyFont="1" applyBorder="1" applyAlignment="1">
      <alignment horizontal="center"/>
    </xf>
    <xf numFmtId="8" fontId="7" fillId="0" borderId="19" xfId="0" applyNumberFormat="1" applyFont="1" applyBorder="1"/>
    <xf numFmtId="0" fontId="7" fillId="0" borderId="20" xfId="0" applyFont="1" applyBorder="1" applyAlignment="1">
      <alignment horizontal="center"/>
    </xf>
    <xf numFmtId="8" fontId="7" fillId="0" borderId="20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8" fontId="7" fillId="0" borderId="18" xfId="0" applyNumberFormat="1" applyFont="1" applyBorder="1"/>
    <xf numFmtId="8" fontId="7" fillId="0" borderId="1" xfId="0" applyNumberFormat="1" applyFont="1" applyBorder="1"/>
    <xf numFmtId="44" fontId="0" fillId="0" borderId="0" xfId="0" applyNumberFormat="1"/>
    <xf numFmtId="0" fontId="0" fillId="0" borderId="10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7" fillId="0" borderId="4" xfId="0" applyFont="1" applyBorder="1"/>
    <xf numFmtId="0" fontId="0" fillId="0" borderId="6" xfId="0" applyBorder="1"/>
    <xf numFmtId="0" fontId="0" fillId="0" borderId="25" xfId="0" applyBorder="1"/>
    <xf numFmtId="0" fontId="0" fillId="0" borderId="29" xfId="0" applyBorder="1"/>
    <xf numFmtId="0" fontId="0" fillId="0" borderId="1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center"/>
    </xf>
    <xf numFmtId="44" fontId="0" fillId="0" borderId="35" xfId="3" applyFont="1" applyBorder="1"/>
    <xf numFmtId="0" fontId="0" fillId="0" borderId="27" xfId="0" applyBorder="1" applyAlignment="1">
      <alignment horizontal="center" vertical="center"/>
    </xf>
    <xf numFmtId="8" fontId="7" fillId="0" borderId="2" xfId="0" applyNumberFormat="1" applyFont="1" applyBorder="1"/>
    <xf numFmtId="0" fontId="7" fillId="4" borderId="2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3" applyFont="1" applyFill="1" applyBorder="1"/>
    <xf numFmtId="0" fontId="0" fillId="4" borderId="4" xfId="0" applyFill="1" applyBorder="1"/>
    <xf numFmtId="0" fontId="8" fillId="4" borderId="4" xfId="0" applyFont="1" applyFill="1" applyBorder="1"/>
    <xf numFmtId="0" fontId="7" fillId="4" borderId="4" xfId="0" applyFont="1" applyFill="1" applyBorder="1"/>
    <xf numFmtId="0" fontId="8" fillId="0" borderId="1" xfId="0" applyFont="1" applyBorder="1" applyAlignment="1">
      <alignment horizontal="center"/>
    </xf>
    <xf numFmtId="0" fontId="0" fillId="0" borderId="37" xfId="0" applyBorder="1"/>
    <xf numFmtId="44" fontId="0" fillId="0" borderId="38" xfId="3" applyFont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4" borderId="22" xfId="0" applyFill="1" applyBorder="1"/>
    <xf numFmtId="0" fontId="7" fillId="0" borderId="21" xfId="0" applyFont="1" applyBorder="1" applyAlignment="1">
      <alignment horizontal="center"/>
    </xf>
    <xf numFmtId="8" fontId="7" fillId="0" borderId="21" xfId="0" applyNumberFormat="1" applyFont="1" applyBorder="1"/>
    <xf numFmtId="0" fontId="0" fillId="0" borderId="22" xfId="0" applyBorder="1" applyAlignment="1">
      <alignment horizontal="left" vertical="top"/>
    </xf>
    <xf numFmtId="44" fontId="0" fillId="0" borderId="39" xfId="3" applyFont="1" applyBorder="1"/>
    <xf numFmtId="0" fontId="0" fillId="0" borderId="39" xfId="0" applyBorder="1" applyAlignment="1">
      <alignment horizontal="center"/>
    </xf>
    <xf numFmtId="44" fontId="0" fillId="0" borderId="40" xfId="3" applyFont="1" applyBorder="1" applyAlignment="1">
      <alignment horizontal="center"/>
    </xf>
    <xf numFmtId="0" fontId="0" fillId="0" borderId="45" xfId="0" applyBorder="1" applyAlignment="1">
      <alignment horizontal="center" wrapText="1"/>
    </xf>
    <xf numFmtId="0" fontId="0" fillId="0" borderId="45" xfId="0" applyBorder="1" applyAlignment="1">
      <alignment horizontal="center"/>
    </xf>
    <xf numFmtId="44" fontId="0" fillId="0" borderId="45" xfId="3" applyFont="1" applyBorder="1"/>
    <xf numFmtId="0" fontId="0" fillId="0" borderId="1" xfId="0" applyBorder="1" applyAlignment="1">
      <alignment horizontal="center" wrapText="1"/>
    </xf>
    <xf numFmtId="44" fontId="0" fillId="0" borderId="1" xfId="3" applyFont="1" applyFill="1" applyBorder="1"/>
    <xf numFmtId="0" fontId="0" fillId="0" borderId="46" xfId="0" applyBorder="1" applyAlignment="1">
      <alignment horizontal="center" wrapText="1"/>
    </xf>
    <xf numFmtId="0" fontId="0" fillId="0" borderId="46" xfId="0" applyBorder="1" applyAlignment="1">
      <alignment horizontal="center"/>
    </xf>
    <xf numFmtId="44" fontId="0" fillId="0" borderId="46" xfId="3" applyFont="1" applyFill="1" applyBorder="1"/>
    <xf numFmtId="0" fontId="0" fillId="4" borderId="1" xfId="0" applyFill="1" applyBorder="1" applyAlignment="1">
      <alignment horizontal="center" wrapText="1"/>
    </xf>
    <xf numFmtId="0" fontId="0" fillId="4" borderId="46" xfId="0" applyFill="1" applyBorder="1" applyAlignment="1">
      <alignment horizontal="center" wrapText="1"/>
    </xf>
    <xf numFmtId="0" fontId="0" fillId="4" borderId="46" xfId="0" applyFill="1" applyBorder="1" applyAlignment="1">
      <alignment horizontal="center"/>
    </xf>
    <xf numFmtId="0" fontId="0" fillId="4" borderId="47" xfId="0" applyFill="1" applyBorder="1" applyAlignment="1">
      <alignment horizontal="center" wrapText="1"/>
    </xf>
    <xf numFmtId="0" fontId="0" fillId="4" borderId="47" xfId="0" applyFill="1" applyBorder="1" applyAlignment="1">
      <alignment horizontal="center"/>
    </xf>
    <xf numFmtId="0" fontId="0" fillId="4" borderId="36" xfId="0" applyFill="1" applyBorder="1" applyAlignment="1">
      <alignment horizontal="center" wrapText="1"/>
    </xf>
    <xf numFmtId="44" fontId="0" fillId="4" borderId="46" xfId="3" applyFont="1" applyFill="1" applyBorder="1"/>
    <xf numFmtId="0" fontId="8" fillId="4" borderId="1" xfId="0" applyFont="1" applyFill="1" applyBorder="1" applyAlignment="1">
      <alignment horizontal="center"/>
    </xf>
    <xf numFmtId="44" fontId="8" fillId="4" borderId="1" xfId="0" applyNumberFormat="1" applyFont="1" applyFill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7" fillId="4" borderId="48" xfId="0" applyFont="1" applyFill="1" applyBorder="1" applyAlignment="1">
      <alignment wrapText="1"/>
    </xf>
    <xf numFmtId="44" fontId="0" fillId="0" borderId="49" xfId="3" applyFont="1" applyBorder="1" applyAlignment="1">
      <alignment horizontal="center"/>
    </xf>
    <xf numFmtId="0" fontId="0" fillId="4" borderId="50" xfId="0" applyFill="1" applyBorder="1"/>
    <xf numFmtId="44" fontId="0" fillId="0" borderId="5" xfId="3" applyFont="1" applyFill="1" applyBorder="1" applyAlignment="1">
      <alignment horizontal="center"/>
    </xf>
    <xf numFmtId="0" fontId="0" fillId="4" borderId="13" xfId="0" applyFill="1" applyBorder="1"/>
    <xf numFmtId="44" fontId="0" fillId="4" borderId="5" xfId="3" applyFont="1" applyFill="1" applyBorder="1" applyAlignment="1">
      <alignment horizontal="center"/>
    </xf>
    <xf numFmtId="44" fontId="0" fillId="4" borderId="28" xfId="3" applyFont="1" applyFill="1" applyBorder="1" applyAlignment="1">
      <alignment horizontal="center"/>
    </xf>
    <xf numFmtId="0" fontId="8" fillId="4" borderId="4" xfId="0" applyFont="1" applyFill="1" applyBorder="1" applyAlignment="1">
      <alignment wrapText="1"/>
    </xf>
    <xf numFmtId="0" fontId="8" fillId="4" borderId="6" xfId="0" applyFont="1" applyFill="1" applyBorder="1"/>
    <xf numFmtId="0" fontId="0" fillId="0" borderId="7" xfId="0" applyBorder="1" applyAlignment="1">
      <alignment horizontal="center" wrapText="1"/>
    </xf>
    <xf numFmtId="0" fontId="0" fillId="4" borderId="51" xfId="0" applyFill="1" applyBorder="1"/>
    <xf numFmtId="0" fontId="0" fillId="0" borderId="41" xfId="0" applyBorder="1" applyAlignment="1">
      <alignment horizontal="center" wrapText="1"/>
    </xf>
    <xf numFmtId="0" fontId="0" fillId="0" borderId="41" xfId="0" applyBorder="1" applyAlignment="1">
      <alignment horizontal="center"/>
    </xf>
    <xf numFmtId="44" fontId="0" fillId="0" borderId="36" xfId="3" applyFont="1" applyBorder="1"/>
    <xf numFmtId="44" fontId="0" fillId="0" borderId="28" xfId="3" applyFont="1" applyBorder="1" applyAlignment="1">
      <alignment horizontal="center"/>
    </xf>
    <xf numFmtId="0" fontId="0" fillId="4" borderId="29" xfId="0" applyFill="1" applyBorder="1"/>
    <xf numFmtId="0" fontId="0" fillId="0" borderId="39" xfId="0" applyBorder="1" applyAlignment="1">
      <alignment horizontal="center" wrapText="1"/>
    </xf>
    <xf numFmtId="0" fontId="0" fillId="4" borderId="41" xfId="0" applyFill="1" applyBorder="1" applyAlignment="1">
      <alignment horizontal="center" wrapText="1"/>
    </xf>
    <xf numFmtId="0" fontId="0" fillId="4" borderId="52" xfId="0" applyFill="1" applyBorder="1" applyAlignment="1">
      <alignment horizontal="center"/>
    </xf>
    <xf numFmtId="44" fontId="0" fillId="4" borderId="41" xfId="3" applyFont="1" applyFill="1" applyBorder="1"/>
    <xf numFmtId="0" fontId="0" fillId="4" borderId="41" xfId="0" applyFill="1" applyBorder="1" applyAlignment="1">
      <alignment horizontal="center"/>
    </xf>
    <xf numFmtId="44" fontId="0" fillId="4" borderId="53" xfId="3" applyFont="1" applyFill="1" applyBorder="1" applyAlignment="1">
      <alignment horizontal="center"/>
    </xf>
    <xf numFmtId="0" fontId="0" fillId="4" borderId="25" xfId="0" applyFill="1" applyBorder="1"/>
    <xf numFmtId="0" fontId="0" fillId="4" borderId="2" xfId="0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44" fontId="8" fillId="4" borderId="2" xfId="0" applyNumberFormat="1" applyFont="1" applyFill="1" applyBorder="1"/>
    <xf numFmtId="44" fontId="0" fillId="4" borderId="2" xfId="3" applyFont="1" applyFill="1" applyBorder="1"/>
    <xf numFmtId="0" fontId="0" fillId="4" borderId="2" xfId="0" applyFill="1" applyBorder="1" applyAlignment="1">
      <alignment horizontal="center"/>
    </xf>
    <xf numFmtId="44" fontId="0" fillId="4" borderId="3" xfId="3" applyFont="1" applyFill="1" applyBorder="1" applyAlignment="1">
      <alignment horizontal="center"/>
    </xf>
    <xf numFmtId="0" fontId="0" fillId="0" borderId="54" xfId="0" applyBorder="1"/>
    <xf numFmtId="0" fontId="0" fillId="0" borderId="54" xfId="0" applyBorder="1" applyAlignment="1">
      <alignment horizontal="center"/>
    </xf>
    <xf numFmtId="44" fontId="0" fillId="0" borderId="54" xfId="3" applyFont="1" applyBorder="1"/>
    <xf numFmtId="44" fontId="0" fillId="0" borderId="7" xfId="3" applyFont="1" applyFill="1" applyBorder="1"/>
    <xf numFmtId="0" fontId="8" fillId="0" borderId="29" xfId="0" applyFont="1" applyBorder="1"/>
    <xf numFmtId="44" fontId="0" fillId="0" borderId="39" xfId="3" applyFont="1" applyFill="1" applyBorder="1"/>
    <xf numFmtId="0" fontId="8" fillId="0" borderId="31" xfId="0" applyFont="1" applyBorder="1"/>
    <xf numFmtId="0" fontId="0" fillId="0" borderId="55" xfId="0" applyBorder="1" applyAlignment="1">
      <alignment horizontal="center"/>
    </xf>
    <xf numFmtId="44" fontId="0" fillId="0" borderId="55" xfId="3" applyFont="1" applyFill="1" applyBorder="1"/>
    <xf numFmtId="44" fontId="0" fillId="0" borderId="55" xfId="3" applyFont="1" applyBorder="1"/>
    <xf numFmtId="44" fontId="0" fillId="0" borderId="56" xfId="3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6" fillId="3" borderId="14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8" fontId="7" fillId="2" borderId="1" xfId="0" applyNumberFormat="1" applyFont="1" applyFill="1" applyBorder="1"/>
    <xf numFmtId="44" fontId="0" fillId="2" borderId="55" xfId="3" applyFont="1" applyFill="1" applyBorder="1"/>
    <xf numFmtId="44" fontId="0" fillId="2" borderId="45" xfId="3" applyFont="1" applyFill="1" applyBorder="1"/>
    <xf numFmtId="8" fontId="7" fillId="0" borderId="2" xfId="0" applyNumberFormat="1" applyFont="1" applyFill="1" applyBorder="1"/>
    <xf numFmtId="8" fontId="7" fillId="0" borderId="1" xfId="0" applyNumberFormat="1" applyFont="1" applyFill="1" applyBorder="1"/>
    <xf numFmtId="44" fontId="0" fillId="0" borderId="2" xfId="3" applyFont="1" applyFill="1" applyBorder="1"/>
    <xf numFmtId="44" fontId="0" fillId="2" borderId="1" xfId="3" applyFont="1" applyFill="1" applyBorder="1"/>
    <xf numFmtId="44" fontId="8" fillId="2" borderId="1" xfId="0" applyNumberFormat="1" applyFont="1" applyFill="1" applyBorder="1"/>
    <xf numFmtId="44" fontId="0" fillId="2" borderId="39" xfId="3" applyFont="1" applyFill="1" applyBorder="1"/>
    <xf numFmtId="44" fontId="0" fillId="2" borderId="41" xfId="3" applyFont="1" applyFill="1" applyBorder="1"/>
    <xf numFmtId="0" fontId="0" fillId="2" borderId="50" xfId="0" applyFill="1" applyBorder="1"/>
    <xf numFmtId="0" fontId="0" fillId="2" borderId="4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46" xfId="0" applyFill="1" applyBorder="1" applyAlignment="1">
      <alignment horizontal="center"/>
    </xf>
    <xf numFmtId="44" fontId="0" fillId="2" borderId="5" xfId="3" applyFont="1" applyFill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7" fillId="2" borderId="4" xfId="0" applyFont="1" applyFill="1" applyBorder="1"/>
    <xf numFmtId="0" fontId="8" fillId="2" borderId="1" xfId="0" applyFont="1" applyFill="1" applyBorder="1" applyAlignment="1">
      <alignment horizontal="center"/>
    </xf>
    <xf numFmtId="0" fontId="7" fillId="2" borderId="13" xfId="0" applyFont="1" applyFill="1" applyBorder="1"/>
    <xf numFmtId="0" fontId="0" fillId="2" borderId="46" xfId="0" applyFill="1" applyBorder="1" applyAlignment="1">
      <alignment horizontal="center" wrapText="1"/>
    </xf>
    <xf numFmtId="0" fontId="8" fillId="2" borderId="46" xfId="0" applyFont="1" applyFill="1" applyBorder="1" applyAlignment="1">
      <alignment horizontal="center"/>
    </xf>
    <xf numFmtId="44" fontId="8" fillId="2" borderId="46" xfId="0" applyNumberFormat="1" applyFont="1" applyFill="1" applyBorder="1"/>
    <xf numFmtId="44" fontId="0" fillId="2" borderId="46" xfId="3" applyFont="1" applyFill="1" applyBorder="1"/>
    <xf numFmtId="44" fontId="0" fillId="2" borderId="28" xfId="3" applyFont="1" applyFill="1" applyBorder="1" applyAlignment="1">
      <alignment horizontal="center"/>
    </xf>
    <xf numFmtId="0" fontId="0" fillId="0" borderId="57" xfId="0" applyBorder="1" applyAlignment="1">
      <alignment horizontal="left" vertical="top"/>
    </xf>
    <xf numFmtId="0" fontId="0" fillId="0" borderId="58" xfId="0" applyBorder="1" applyAlignment="1">
      <alignment horizontal="left" vertical="top"/>
    </xf>
    <xf numFmtId="0" fontId="7" fillId="4" borderId="59" xfId="0" applyFont="1" applyFill="1" applyBorder="1"/>
    <xf numFmtId="0" fontId="7" fillId="0" borderId="59" xfId="0" applyFont="1" applyBorder="1"/>
    <xf numFmtId="0" fontId="7" fillId="0" borderId="58" xfId="0" applyFont="1" applyBorder="1"/>
    <xf numFmtId="0" fontId="7" fillId="0" borderId="36" xfId="0" applyFont="1" applyBorder="1"/>
    <xf numFmtId="0" fontId="7" fillId="0" borderId="60" xfId="0" applyFont="1" applyBorder="1"/>
    <xf numFmtId="0" fontId="0" fillId="0" borderId="33" xfId="0" applyBorder="1" applyAlignment="1">
      <alignment horizontal="center" vertical="center"/>
    </xf>
  </cellXfs>
  <cellStyles count="4">
    <cellStyle name="Hiperłącze" xfId="1" builtinId="8" hidden="1"/>
    <cellStyle name="Normalny" xfId="0" builtinId="0"/>
    <cellStyle name="Odwiedzone hiperłącze" xfId="2" builtinId="9" hidden="1"/>
    <cellStyle name="Walutowy" xfId="3" builtinId="4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1"/>
  <sheetViews>
    <sheetView showGridLines="0" tabSelected="1" zoomScale="120" zoomScaleNormal="120" workbookViewId="0">
      <selection activeCell="D144" sqref="D144:K156"/>
    </sheetView>
  </sheetViews>
  <sheetFormatPr baseColWidth="10" defaultColWidth="11" defaultRowHeight="16" x14ac:dyDescent="0.2"/>
  <cols>
    <col min="1" max="1" width="8.5" customWidth="1"/>
    <col min="3" max="3" width="14.5" customWidth="1"/>
    <col min="4" max="4" width="56.1640625" customWidth="1"/>
    <col min="5" max="5" width="6.83203125" customWidth="1"/>
    <col min="6" max="6" width="7" bestFit="1" customWidth="1"/>
    <col min="7" max="7" width="7.5" bestFit="1" customWidth="1"/>
    <col min="8" max="8" width="15.83203125" customWidth="1"/>
    <col min="9" max="9" width="17.5" customWidth="1"/>
    <col min="10" max="10" width="7.5" bestFit="1" customWidth="1"/>
    <col min="11" max="11" width="13.83203125" bestFit="1" customWidth="1"/>
    <col min="12" max="12" width="32" customWidth="1"/>
    <col min="15" max="15" width="12.5" bestFit="1" customWidth="1"/>
  </cols>
  <sheetData>
    <row r="2" spans="2:15" ht="17" thickBot="1" x14ac:dyDescent="0.25"/>
    <row r="3" spans="2:15" ht="31" thickBot="1" x14ac:dyDescent="0.25">
      <c r="B3" s="133" t="s">
        <v>45</v>
      </c>
      <c r="C3" s="134"/>
      <c r="D3" s="134"/>
      <c r="E3" s="53" t="s">
        <v>22</v>
      </c>
      <c r="F3" s="43" t="s">
        <v>1</v>
      </c>
      <c r="G3" s="43" t="s">
        <v>2</v>
      </c>
      <c r="H3" s="43" t="s">
        <v>3</v>
      </c>
      <c r="I3" s="43" t="s">
        <v>4</v>
      </c>
      <c r="J3" s="43" t="s">
        <v>5</v>
      </c>
      <c r="K3" s="43" t="s">
        <v>6</v>
      </c>
      <c r="L3" s="28" t="s">
        <v>24</v>
      </c>
    </row>
    <row r="4" spans="2:15" ht="17" customHeight="1" thickBot="1" x14ac:dyDescent="0.25">
      <c r="B4" s="135" t="s">
        <v>35</v>
      </c>
      <c r="C4" s="136"/>
      <c r="D4" s="157" t="s">
        <v>46</v>
      </c>
      <c r="E4" s="158"/>
      <c r="F4" s="158"/>
      <c r="G4" s="158"/>
      <c r="H4" s="158"/>
      <c r="I4" s="158"/>
      <c r="J4" s="158"/>
      <c r="K4" s="159"/>
      <c r="L4" s="141" t="s">
        <v>90</v>
      </c>
    </row>
    <row r="5" spans="2:15" ht="17" customHeight="1" x14ac:dyDescent="0.2">
      <c r="B5" s="137"/>
      <c r="C5" s="138"/>
      <c r="D5" s="91" t="s">
        <v>43</v>
      </c>
      <c r="E5" s="21" t="s">
        <v>23</v>
      </c>
      <c r="F5" s="38">
        <v>2</v>
      </c>
      <c r="G5" s="38">
        <v>3</v>
      </c>
      <c r="H5" s="180">
        <v>1600</v>
      </c>
      <c r="I5" s="22">
        <f>F5*G5*H5</f>
        <v>9600</v>
      </c>
      <c r="J5" s="21">
        <v>35</v>
      </c>
      <c r="K5" s="11">
        <f>(F5*G5*H5)*((100-J5)/100)</f>
        <v>6240</v>
      </c>
      <c r="L5" s="152"/>
    </row>
    <row r="6" spans="2:15" x14ac:dyDescent="0.2">
      <c r="B6" s="137"/>
      <c r="C6" s="138"/>
      <c r="D6" s="44" t="s">
        <v>89</v>
      </c>
      <c r="E6" s="48" t="s">
        <v>23</v>
      </c>
      <c r="F6" s="36">
        <v>1</v>
      </c>
      <c r="G6" s="36">
        <v>3</v>
      </c>
      <c r="H6" s="177">
        <v>600</v>
      </c>
      <c r="I6" s="16">
        <f t="shared" ref="I6:I23" si="0">F6*G6*H6</f>
        <v>1800</v>
      </c>
      <c r="J6" s="48">
        <v>35</v>
      </c>
      <c r="K6" s="12">
        <f t="shared" ref="K6:K23" si="1">(F6*G6*H6)*((100-J6)/100)</f>
        <v>1170</v>
      </c>
      <c r="L6" s="152"/>
    </row>
    <row r="7" spans="2:15" x14ac:dyDescent="0.2">
      <c r="B7" s="137"/>
      <c r="C7" s="138"/>
      <c r="D7" s="44" t="s">
        <v>0</v>
      </c>
      <c r="E7" s="48" t="s">
        <v>23</v>
      </c>
      <c r="F7" s="36">
        <v>1</v>
      </c>
      <c r="G7" s="36">
        <v>3</v>
      </c>
      <c r="H7" s="181">
        <v>1000</v>
      </c>
      <c r="I7" s="16">
        <f t="shared" si="0"/>
        <v>3000</v>
      </c>
      <c r="J7" s="48">
        <v>35</v>
      </c>
      <c r="K7" s="12">
        <f t="shared" si="1"/>
        <v>1950</v>
      </c>
      <c r="L7" s="152"/>
    </row>
    <row r="8" spans="2:15" ht="17" x14ac:dyDescent="0.2">
      <c r="B8" s="137"/>
      <c r="C8" s="138"/>
      <c r="D8" s="44" t="s">
        <v>39</v>
      </c>
      <c r="E8" s="75" t="s">
        <v>23</v>
      </c>
      <c r="F8" s="36">
        <v>1</v>
      </c>
      <c r="G8" s="36">
        <v>3</v>
      </c>
      <c r="H8" s="181">
        <v>200</v>
      </c>
      <c r="I8" s="16">
        <f t="shared" si="0"/>
        <v>600</v>
      </c>
      <c r="J8" s="48">
        <v>35</v>
      </c>
      <c r="K8" s="12">
        <f t="shared" si="1"/>
        <v>390</v>
      </c>
      <c r="L8" s="152"/>
    </row>
    <row r="9" spans="2:15" ht="17" x14ac:dyDescent="0.2">
      <c r="B9" s="137"/>
      <c r="C9" s="138"/>
      <c r="D9" s="44" t="s">
        <v>8</v>
      </c>
      <c r="E9" s="75" t="s">
        <v>23</v>
      </c>
      <c r="F9" s="36">
        <v>2</v>
      </c>
      <c r="G9" s="36">
        <v>3</v>
      </c>
      <c r="H9" s="181">
        <v>200</v>
      </c>
      <c r="I9" s="16">
        <f t="shared" si="0"/>
        <v>1200</v>
      </c>
      <c r="J9" s="48">
        <v>35</v>
      </c>
      <c r="K9" s="12">
        <f t="shared" si="1"/>
        <v>780</v>
      </c>
      <c r="L9" s="152"/>
      <c r="O9" s="41"/>
    </row>
    <row r="10" spans="2:15" ht="17" x14ac:dyDescent="0.2">
      <c r="B10" s="137"/>
      <c r="C10" s="138"/>
      <c r="D10" s="44" t="s">
        <v>12</v>
      </c>
      <c r="E10" s="75" t="s">
        <v>23</v>
      </c>
      <c r="F10" s="36">
        <v>1</v>
      </c>
      <c r="G10" s="36">
        <v>3</v>
      </c>
      <c r="H10" s="177">
        <v>70</v>
      </c>
      <c r="I10" s="16">
        <f t="shared" si="0"/>
        <v>210</v>
      </c>
      <c r="J10" s="48">
        <v>35</v>
      </c>
      <c r="K10" s="12">
        <f t="shared" si="1"/>
        <v>136.5</v>
      </c>
      <c r="L10" s="152"/>
      <c r="O10" s="41"/>
    </row>
    <row r="11" spans="2:15" ht="17" x14ac:dyDescent="0.2">
      <c r="B11" s="137"/>
      <c r="C11" s="138"/>
      <c r="D11" s="44" t="s">
        <v>31</v>
      </c>
      <c r="E11" s="75" t="s">
        <v>23</v>
      </c>
      <c r="F11" s="36">
        <v>1</v>
      </c>
      <c r="G11" s="36">
        <v>3</v>
      </c>
      <c r="H11" s="177">
        <v>200</v>
      </c>
      <c r="I11" s="16">
        <f t="shared" si="0"/>
        <v>600</v>
      </c>
      <c r="J11" s="48">
        <v>35</v>
      </c>
      <c r="K11" s="12">
        <f t="shared" si="1"/>
        <v>390</v>
      </c>
      <c r="L11" s="152"/>
    </row>
    <row r="12" spans="2:15" ht="17" x14ac:dyDescent="0.2">
      <c r="B12" s="137"/>
      <c r="C12" s="138"/>
      <c r="D12" s="44" t="s">
        <v>42</v>
      </c>
      <c r="E12" s="75" t="s">
        <v>23</v>
      </c>
      <c r="F12" s="36">
        <v>1</v>
      </c>
      <c r="G12" s="36">
        <v>3</v>
      </c>
      <c r="H12" s="177">
        <v>400</v>
      </c>
      <c r="I12" s="16">
        <f t="shared" si="0"/>
        <v>1200</v>
      </c>
      <c r="J12" s="48">
        <v>35</v>
      </c>
      <c r="K12" s="12">
        <f t="shared" si="1"/>
        <v>780</v>
      </c>
      <c r="L12" s="152"/>
    </row>
    <row r="13" spans="2:15" ht="17" x14ac:dyDescent="0.2">
      <c r="B13" s="137"/>
      <c r="C13" s="138"/>
      <c r="D13" s="44" t="s">
        <v>32</v>
      </c>
      <c r="E13" s="75" t="s">
        <v>23</v>
      </c>
      <c r="F13" s="36">
        <v>1</v>
      </c>
      <c r="G13" s="36">
        <v>3</v>
      </c>
      <c r="H13" s="177">
        <v>500</v>
      </c>
      <c r="I13" s="16">
        <f t="shared" si="0"/>
        <v>1500</v>
      </c>
      <c r="J13" s="48">
        <v>35</v>
      </c>
      <c r="K13" s="12">
        <f t="shared" si="1"/>
        <v>975</v>
      </c>
      <c r="L13" s="152"/>
    </row>
    <row r="14" spans="2:15" ht="17" x14ac:dyDescent="0.2">
      <c r="B14" s="137"/>
      <c r="C14" s="138"/>
      <c r="D14" s="44" t="s">
        <v>11</v>
      </c>
      <c r="E14" s="75" t="s">
        <v>23</v>
      </c>
      <c r="F14" s="36">
        <v>1</v>
      </c>
      <c r="G14" s="36">
        <v>3</v>
      </c>
      <c r="H14" s="177">
        <v>50</v>
      </c>
      <c r="I14" s="16">
        <f t="shared" si="0"/>
        <v>150</v>
      </c>
      <c r="J14" s="48">
        <v>35</v>
      </c>
      <c r="K14" s="12">
        <f t="shared" si="1"/>
        <v>97.5</v>
      </c>
      <c r="L14" s="152"/>
    </row>
    <row r="15" spans="2:15" ht="17" x14ac:dyDescent="0.2">
      <c r="B15" s="137"/>
      <c r="C15" s="138"/>
      <c r="D15" s="44" t="s">
        <v>19</v>
      </c>
      <c r="E15" s="75" t="s">
        <v>23</v>
      </c>
      <c r="F15" s="36">
        <v>1</v>
      </c>
      <c r="G15" s="36">
        <v>3</v>
      </c>
      <c r="H15" s="177">
        <v>60</v>
      </c>
      <c r="I15" s="16">
        <f t="shared" si="0"/>
        <v>180</v>
      </c>
      <c r="J15" s="48">
        <v>35</v>
      </c>
      <c r="K15" s="12">
        <f t="shared" si="1"/>
        <v>117</v>
      </c>
      <c r="L15" s="152"/>
    </row>
    <row r="16" spans="2:15" ht="17" x14ac:dyDescent="0.2">
      <c r="B16" s="137"/>
      <c r="C16" s="138"/>
      <c r="D16" s="44" t="s">
        <v>20</v>
      </c>
      <c r="E16" s="75" t="s">
        <v>23</v>
      </c>
      <c r="F16" s="36">
        <v>1</v>
      </c>
      <c r="G16" s="36">
        <v>3</v>
      </c>
      <c r="H16" s="181">
        <v>45</v>
      </c>
      <c r="I16" s="16">
        <f t="shared" si="0"/>
        <v>135</v>
      </c>
      <c r="J16" s="48">
        <v>35</v>
      </c>
      <c r="K16" s="12">
        <f t="shared" si="1"/>
        <v>87.75</v>
      </c>
      <c r="L16" s="152"/>
    </row>
    <row r="17" spans="2:12" ht="18" thickBot="1" x14ac:dyDescent="0.25">
      <c r="B17" s="137"/>
      <c r="C17" s="138"/>
      <c r="D17" s="44" t="s">
        <v>21</v>
      </c>
      <c r="E17" s="75" t="s">
        <v>23</v>
      </c>
      <c r="F17" s="36">
        <v>1</v>
      </c>
      <c r="G17" s="36">
        <v>3</v>
      </c>
      <c r="H17" s="181">
        <v>200</v>
      </c>
      <c r="I17" s="16">
        <f t="shared" ref="I17" si="2">F17*G17*H17</f>
        <v>600</v>
      </c>
      <c r="J17" s="48">
        <v>35</v>
      </c>
      <c r="K17" s="12">
        <f t="shared" ref="K17" si="3">(F17*G17*H17)*((100-J17)/100)</f>
        <v>390</v>
      </c>
      <c r="L17" s="152"/>
    </row>
    <row r="18" spans="2:12" ht="17" thickBot="1" x14ac:dyDescent="0.25">
      <c r="B18" s="137"/>
      <c r="C18" s="138"/>
      <c r="D18" s="157" t="s">
        <v>47</v>
      </c>
      <c r="E18" s="158"/>
      <c r="F18" s="158"/>
      <c r="G18" s="158"/>
      <c r="H18" s="158"/>
      <c r="I18" s="158"/>
      <c r="J18" s="158"/>
      <c r="K18" s="159"/>
      <c r="L18" s="152"/>
    </row>
    <row r="19" spans="2:12" ht="17" x14ac:dyDescent="0.2">
      <c r="B19" s="137"/>
      <c r="C19" s="138"/>
      <c r="D19" s="44" t="s">
        <v>14</v>
      </c>
      <c r="E19" s="75" t="s">
        <v>23</v>
      </c>
      <c r="F19" s="36">
        <v>1</v>
      </c>
      <c r="G19" s="36">
        <v>3</v>
      </c>
      <c r="H19" s="181">
        <v>550</v>
      </c>
      <c r="I19" s="16">
        <f t="shared" si="0"/>
        <v>1650</v>
      </c>
      <c r="J19" s="48">
        <v>35</v>
      </c>
      <c r="K19" s="12">
        <f t="shared" si="1"/>
        <v>1072.5</v>
      </c>
      <c r="L19" s="152"/>
    </row>
    <row r="20" spans="2:12" ht="17" x14ac:dyDescent="0.2">
      <c r="B20" s="137"/>
      <c r="C20" s="138"/>
      <c r="D20" s="44" t="s">
        <v>9</v>
      </c>
      <c r="E20" s="75" t="s">
        <v>23</v>
      </c>
      <c r="F20" s="36">
        <v>6</v>
      </c>
      <c r="G20" s="36">
        <v>3</v>
      </c>
      <c r="H20" s="181">
        <v>200</v>
      </c>
      <c r="I20" s="16">
        <f t="shared" si="0"/>
        <v>3600</v>
      </c>
      <c r="J20" s="48">
        <v>35</v>
      </c>
      <c r="K20" s="12">
        <f t="shared" si="1"/>
        <v>2340</v>
      </c>
      <c r="L20" s="152"/>
    </row>
    <row r="21" spans="2:12" ht="17" x14ac:dyDescent="0.2">
      <c r="B21" s="137"/>
      <c r="C21" s="138"/>
      <c r="D21" s="44" t="s">
        <v>13</v>
      </c>
      <c r="E21" s="75" t="s">
        <v>23</v>
      </c>
      <c r="F21" s="36">
        <v>2</v>
      </c>
      <c r="G21" s="36">
        <v>3</v>
      </c>
      <c r="H21" s="181">
        <v>75</v>
      </c>
      <c r="I21" s="16">
        <f t="shared" si="0"/>
        <v>450</v>
      </c>
      <c r="J21" s="48">
        <v>35</v>
      </c>
      <c r="K21" s="12">
        <f t="shared" si="1"/>
        <v>292.5</v>
      </c>
      <c r="L21" s="152"/>
    </row>
    <row r="22" spans="2:12" ht="17" x14ac:dyDescent="0.2">
      <c r="B22" s="137"/>
      <c r="C22" s="138"/>
      <c r="D22" s="44" t="s">
        <v>26</v>
      </c>
      <c r="E22" s="75" t="s">
        <v>23</v>
      </c>
      <c r="F22" s="36">
        <v>4</v>
      </c>
      <c r="G22" s="36">
        <v>3</v>
      </c>
      <c r="H22" s="181">
        <v>200</v>
      </c>
      <c r="I22" s="16">
        <f t="shared" si="0"/>
        <v>2400</v>
      </c>
      <c r="J22" s="48">
        <v>35</v>
      </c>
      <c r="K22" s="12">
        <f t="shared" si="1"/>
        <v>1560</v>
      </c>
      <c r="L22" s="152"/>
    </row>
    <row r="23" spans="2:12" ht="18" thickBot="1" x14ac:dyDescent="0.25">
      <c r="B23" s="137"/>
      <c r="C23" s="138"/>
      <c r="D23" s="44" t="s">
        <v>33</v>
      </c>
      <c r="E23" s="75" t="s">
        <v>23</v>
      </c>
      <c r="F23" s="36">
        <v>2</v>
      </c>
      <c r="G23" s="36">
        <v>3</v>
      </c>
      <c r="H23" s="181">
        <v>200</v>
      </c>
      <c r="I23" s="16">
        <f t="shared" si="0"/>
        <v>1200</v>
      </c>
      <c r="J23" s="48">
        <v>35</v>
      </c>
      <c r="K23" s="12">
        <f t="shared" si="1"/>
        <v>780</v>
      </c>
      <c r="L23" s="152"/>
    </row>
    <row r="24" spans="2:12" ht="17" thickBot="1" x14ac:dyDescent="0.25">
      <c r="B24" s="137"/>
      <c r="C24" s="138"/>
      <c r="D24" s="157" t="s">
        <v>48</v>
      </c>
      <c r="E24" s="158"/>
      <c r="F24" s="158"/>
      <c r="G24" s="158"/>
      <c r="H24" s="158"/>
      <c r="I24" s="158"/>
      <c r="J24" s="158"/>
      <c r="K24" s="159"/>
      <c r="L24" s="152"/>
    </row>
    <row r="25" spans="2:12" x14ac:dyDescent="0.2">
      <c r="B25" s="137"/>
      <c r="C25" s="138"/>
      <c r="D25" s="124" t="s">
        <v>87</v>
      </c>
      <c r="E25" s="70" t="s">
        <v>23</v>
      </c>
      <c r="F25" s="70">
        <v>8</v>
      </c>
      <c r="G25" s="70">
        <v>3</v>
      </c>
      <c r="H25" s="182">
        <v>80</v>
      </c>
      <c r="I25" s="69">
        <f t="shared" ref="I25:I27" si="4">F25*G25*H25</f>
        <v>1920</v>
      </c>
      <c r="J25" s="70">
        <v>35</v>
      </c>
      <c r="K25" s="71">
        <f t="shared" ref="K25:K27" si="5">(F25*G25*H25)*((100-J25)/100)</f>
        <v>1248</v>
      </c>
      <c r="L25" s="152"/>
    </row>
    <row r="26" spans="2:12" x14ac:dyDescent="0.2">
      <c r="B26" s="137"/>
      <c r="C26" s="138"/>
      <c r="D26" s="126" t="s">
        <v>44</v>
      </c>
      <c r="E26" s="127" t="s">
        <v>23</v>
      </c>
      <c r="F26" s="127">
        <v>1</v>
      </c>
      <c r="G26" s="127">
        <v>3</v>
      </c>
      <c r="H26" s="178">
        <v>50</v>
      </c>
      <c r="I26" s="129">
        <f t="shared" si="4"/>
        <v>150</v>
      </c>
      <c r="J26" s="127">
        <v>35</v>
      </c>
      <c r="K26" s="130">
        <f t="shared" si="5"/>
        <v>97.5</v>
      </c>
      <c r="L26" s="152"/>
    </row>
    <row r="27" spans="2:12" ht="17" thickBot="1" x14ac:dyDescent="0.25">
      <c r="B27" s="139"/>
      <c r="C27" s="140"/>
      <c r="D27" s="45" t="s">
        <v>88</v>
      </c>
      <c r="E27" s="19" t="s">
        <v>23</v>
      </c>
      <c r="F27" s="19">
        <v>2</v>
      </c>
      <c r="G27" s="19">
        <v>3</v>
      </c>
      <c r="H27" s="76">
        <v>30</v>
      </c>
      <c r="I27" s="20">
        <f t="shared" si="4"/>
        <v>180</v>
      </c>
      <c r="J27" s="19">
        <v>35</v>
      </c>
      <c r="K27" s="13">
        <f t="shared" si="5"/>
        <v>117</v>
      </c>
      <c r="L27" s="153"/>
    </row>
    <row r="28" spans="2:12" ht="17" thickBot="1" x14ac:dyDescent="0.25">
      <c r="B28" s="6"/>
      <c r="C28" s="6"/>
      <c r="H28" s="154" t="s">
        <v>7</v>
      </c>
      <c r="I28" s="155"/>
      <c r="J28" s="156"/>
      <c r="K28" s="18">
        <f>SUM(K4:K27)</f>
        <v>21011.25</v>
      </c>
    </row>
    <row r="29" spans="2:12" ht="17" thickBot="1" x14ac:dyDescent="0.25"/>
    <row r="30" spans="2:12" ht="31" thickBot="1" x14ac:dyDescent="0.25">
      <c r="B30" s="133" t="s">
        <v>45</v>
      </c>
      <c r="C30" s="134"/>
      <c r="D30" s="134"/>
      <c r="E30" s="53" t="s">
        <v>22</v>
      </c>
      <c r="F30" s="43" t="s">
        <v>1</v>
      </c>
      <c r="G30" s="43" t="s">
        <v>2</v>
      </c>
      <c r="H30" s="43" t="s">
        <v>3</v>
      </c>
      <c r="I30" s="43" t="s">
        <v>4</v>
      </c>
      <c r="J30" s="43" t="s">
        <v>5</v>
      </c>
      <c r="K30" s="43" t="s">
        <v>6</v>
      </c>
      <c r="L30" s="28" t="s">
        <v>24</v>
      </c>
    </row>
    <row r="31" spans="2:12" ht="16" customHeight="1" thickBot="1" x14ac:dyDescent="0.25">
      <c r="B31" s="144" t="s">
        <v>36</v>
      </c>
      <c r="C31" s="145"/>
      <c r="D31" s="157" t="s">
        <v>46</v>
      </c>
      <c r="E31" s="158"/>
      <c r="F31" s="158"/>
      <c r="G31" s="158"/>
      <c r="H31" s="158"/>
      <c r="I31" s="158"/>
      <c r="J31" s="158"/>
      <c r="K31" s="159"/>
      <c r="L31" s="141" t="s">
        <v>91</v>
      </c>
    </row>
    <row r="32" spans="2:12" ht="16" customHeight="1" x14ac:dyDescent="0.2">
      <c r="B32" s="148"/>
      <c r="C32" s="149"/>
      <c r="D32" s="91" t="s">
        <v>43</v>
      </c>
      <c r="E32" s="21" t="s">
        <v>37</v>
      </c>
      <c r="F32" s="38">
        <v>2</v>
      </c>
      <c r="G32" s="38">
        <v>3</v>
      </c>
      <c r="H32" s="54">
        <v>1600</v>
      </c>
      <c r="I32" s="22">
        <f>F32*G32*H32</f>
        <v>9600</v>
      </c>
      <c r="J32" s="21">
        <v>100</v>
      </c>
      <c r="K32" s="11">
        <f>(F32*G32*H32)*((100-J32)/100)</f>
        <v>0</v>
      </c>
      <c r="L32" s="142"/>
    </row>
    <row r="33" spans="2:12" ht="16" customHeight="1" x14ac:dyDescent="0.2">
      <c r="B33" s="148"/>
      <c r="C33" s="149"/>
      <c r="D33" s="44" t="s">
        <v>89</v>
      </c>
      <c r="E33" s="48" t="s">
        <v>37</v>
      </c>
      <c r="F33" s="36">
        <v>1</v>
      </c>
      <c r="G33" s="36">
        <v>3</v>
      </c>
      <c r="H33" s="40">
        <v>550</v>
      </c>
      <c r="I33" s="16">
        <f t="shared" ref="I33:I44" si="6">F33*G33*H33</f>
        <v>1650</v>
      </c>
      <c r="J33" s="48">
        <v>100</v>
      </c>
      <c r="K33" s="12">
        <f t="shared" ref="K33:K44" si="7">(F33*G33*H33)*((100-J33)/100)</f>
        <v>0</v>
      </c>
      <c r="L33" s="142"/>
    </row>
    <row r="34" spans="2:12" ht="16" customHeight="1" x14ac:dyDescent="0.2">
      <c r="B34" s="148"/>
      <c r="C34" s="149"/>
      <c r="D34" s="44" t="s">
        <v>0</v>
      </c>
      <c r="E34" s="48" t="s">
        <v>37</v>
      </c>
      <c r="F34" s="36">
        <v>1</v>
      </c>
      <c r="G34" s="36">
        <v>3</v>
      </c>
      <c r="H34" s="40">
        <v>1000</v>
      </c>
      <c r="I34" s="16">
        <f t="shared" si="6"/>
        <v>3000</v>
      </c>
      <c r="J34" s="48">
        <v>100</v>
      </c>
      <c r="K34" s="12">
        <f t="shared" si="7"/>
        <v>0</v>
      </c>
      <c r="L34" s="142"/>
    </row>
    <row r="35" spans="2:12" ht="16" customHeight="1" x14ac:dyDescent="0.2">
      <c r="B35" s="148"/>
      <c r="C35" s="149"/>
      <c r="D35" s="44" t="s">
        <v>39</v>
      </c>
      <c r="E35" s="75" t="s">
        <v>37</v>
      </c>
      <c r="F35" s="36">
        <v>1</v>
      </c>
      <c r="G35" s="36">
        <v>3</v>
      </c>
      <c r="H35" s="40">
        <v>200</v>
      </c>
      <c r="I35" s="16">
        <f t="shared" si="6"/>
        <v>600</v>
      </c>
      <c r="J35" s="48">
        <v>100</v>
      </c>
      <c r="K35" s="12">
        <f t="shared" si="7"/>
        <v>0</v>
      </c>
      <c r="L35" s="142"/>
    </row>
    <row r="36" spans="2:12" ht="16" customHeight="1" x14ac:dyDescent="0.2">
      <c r="B36" s="148"/>
      <c r="C36" s="149"/>
      <c r="D36" s="44" t="s">
        <v>8</v>
      </c>
      <c r="E36" s="75" t="s">
        <v>37</v>
      </c>
      <c r="F36" s="36">
        <v>2</v>
      </c>
      <c r="G36" s="36">
        <v>3</v>
      </c>
      <c r="H36" s="40">
        <v>200</v>
      </c>
      <c r="I36" s="16">
        <f t="shared" si="6"/>
        <v>1200</v>
      </c>
      <c r="J36" s="48">
        <v>100</v>
      </c>
      <c r="K36" s="12">
        <f t="shared" si="7"/>
        <v>0</v>
      </c>
      <c r="L36" s="142"/>
    </row>
    <row r="37" spans="2:12" ht="16" customHeight="1" x14ac:dyDescent="0.2">
      <c r="B37" s="148"/>
      <c r="C37" s="149"/>
      <c r="D37" s="44" t="s">
        <v>12</v>
      </c>
      <c r="E37" s="75" t="s">
        <v>37</v>
      </c>
      <c r="F37" s="36">
        <v>1</v>
      </c>
      <c r="G37" s="36">
        <v>3</v>
      </c>
      <c r="H37" s="40">
        <v>50</v>
      </c>
      <c r="I37" s="16">
        <f t="shared" si="6"/>
        <v>150</v>
      </c>
      <c r="J37" s="48">
        <v>100</v>
      </c>
      <c r="K37" s="12">
        <f t="shared" si="7"/>
        <v>0</v>
      </c>
      <c r="L37" s="142"/>
    </row>
    <row r="38" spans="2:12" ht="16" customHeight="1" x14ac:dyDescent="0.2">
      <c r="B38" s="148"/>
      <c r="C38" s="149"/>
      <c r="D38" s="44" t="s">
        <v>31</v>
      </c>
      <c r="E38" s="75" t="s">
        <v>37</v>
      </c>
      <c r="F38" s="36">
        <v>1</v>
      </c>
      <c r="G38" s="36">
        <v>3</v>
      </c>
      <c r="H38" s="40">
        <v>220</v>
      </c>
      <c r="I38" s="16">
        <f t="shared" si="6"/>
        <v>660</v>
      </c>
      <c r="J38" s="48">
        <v>100</v>
      </c>
      <c r="K38" s="12">
        <f t="shared" si="7"/>
        <v>0</v>
      </c>
      <c r="L38" s="142"/>
    </row>
    <row r="39" spans="2:12" ht="16" customHeight="1" x14ac:dyDescent="0.2">
      <c r="B39" s="148"/>
      <c r="C39" s="149"/>
      <c r="D39" s="44" t="s">
        <v>42</v>
      </c>
      <c r="E39" s="75" t="s">
        <v>37</v>
      </c>
      <c r="F39" s="36">
        <v>1</v>
      </c>
      <c r="G39" s="36">
        <v>3</v>
      </c>
      <c r="H39" s="40">
        <v>350</v>
      </c>
      <c r="I39" s="16">
        <f t="shared" si="6"/>
        <v>1050</v>
      </c>
      <c r="J39" s="48">
        <v>100</v>
      </c>
      <c r="K39" s="12">
        <f t="shared" si="7"/>
        <v>0</v>
      </c>
      <c r="L39" s="142"/>
    </row>
    <row r="40" spans="2:12" ht="16" customHeight="1" x14ac:dyDescent="0.2">
      <c r="B40" s="148"/>
      <c r="C40" s="149"/>
      <c r="D40" s="44" t="s">
        <v>32</v>
      </c>
      <c r="E40" s="75" t="s">
        <v>37</v>
      </c>
      <c r="F40" s="36">
        <v>1</v>
      </c>
      <c r="G40" s="36">
        <v>3</v>
      </c>
      <c r="H40" s="40">
        <v>600</v>
      </c>
      <c r="I40" s="16">
        <f t="shared" si="6"/>
        <v>1800</v>
      </c>
      <c r="J40" s="48">
        <v>100</v>
      </c>
      <c r="K40" s="12">
        <f t="shared" si="7"/>
        <v>0</v>
      </c>
      <c r="L40" s="142"/>
    </row>
    <row r="41" spans="2:12" ht="16" customHeight="1" x14ac:dyDescent="0.2">
      <c r="B41" s="148"/>
      <c r="C41" s="149"/>
      <c r="D41" s="44" t="s">
        <v>11</v>
      </c>
      <c r="E41" s="75" t="s">
        <v>37</v>
      </c>
      <c r="F41" s="36">
        <v>1</v>
      </c>
      <c r="G41" s="36">
        <v>3</v>
      </c>
      <c r="H41" s="40">
        <v>40</v>
      </c>
      <c r="I41" s="16">
        <f t="shared" si="6"/>
        <v>120</v>
      </c>
      <c r="J41" s="48">
        <v>100</v>
      </c>
      <c r="K41" s="12">
        <f t="shared" si="7"/>
        <v>0</v>
      </c>
      <c r="L41" s="142"/>
    </row>
    <row r="42" spans="2:12" ht="16" customHeight="1" x14ac:dyDescent="0.2">
      <c r="B42" s="148"/>
      <c r="C42" s="149"/>
      <c r="D42" s="44" t="s">
        <v>19</v>
      </c>
      <c r="E42" s="75" t="s">
        <v>37</v>
      </c>
      <c r="F42" s="36">
        <v>1</v>
      </c>
      <c r="G42" s="36">
        <v>3</v>
      </c>
      <c r="H42" s="40">
        <v>50</v>
      </c>
      <c r="I42" s="16">
        <f t="shared" si="6"/>
        <v>150</v>
      </c>
      <c r="J42" s="48">
        <v>100</v>
      </c>
      <c r="K42" s="12">
        <f t="shared" si="7"/>
        <v>0</v>
      </c>
      <c r="L42" s="142"/>
    </row>
    <row r="43" spans="2:12" ht="16" customHeight="1" x14ac:dyDescent="0.2">
      <c r="B43" s="148"/>
      <c r="C43" s="149"/>
      <c r="D43" s="44" t="s">
        <v>20</v>
      </c>
      <c r="E43" s="75" t="s">
        <v>37</v>
      </c>
      <c r="F43" s="36">
        <v>1</v>
      </c>
      <c r="G43" s="36">
        <v>3</v>
      </c>
      <c r="H43" s="40">
        <v>45</v>
      </c>
      <c r="I43" s="16">
        <f t="shared" si="6"/>
        <v>135</v>
      </c>
      <c r="J43" s="48">
        <v>100</v>
      </c>
      <c r="K43" s="12">
        <f t="shared" si="7"/>
        <v>0</v>
      </c>
      <c r="L43" s="142"/>
    </row>
    <row r="44" spans="2:12" ht="16" customHeight="1" thickBot="1" x14ac:dyDescent="0.25">
      <c r="B44" s="148"/>
      <c r="C44" s="149"/>
      <c r="D44" s="44" t="s">
        <v>21</v>
      </c>
      <c r="E44" s="75" t="s">
        <v>37</v>
      </c>
      <c r="F44" s="36">
        <v>1</v>
      </c>
      <c r="G44" s="36">
        <v>3</v>
      </c>
      <c r="H44" s="40">
        <v>200</v>
      </c>
      <c r="I44" s="16">
        <f t="shared" si="6"/>
        <v>600</v>
      </c>
      <c r="J44" s="48">
        <v>100</v>
      </c>
      <c r="K44" s="12">
        <f t="shared" si="7"/>
        <v>0</v>
      </c>
      <c r="L44" s="142"/>
    </row>
    <row r="45" spans="2:12" ht="16" customHeight="1" thickBot="1" x14ac:dyDescent="0.25">
      <c r="B45" s="148"/>
      <c r="C45" s="149"/>
      <c r="D45" s="157" t="s">
        <v>47</v>
      </c>
      <c r="E45" s="158"/>
      <c r="F45" s="158"/>
      <c r="G45" s="158"/>
      <c r="H45" s="158"/>
      <c r="I45" s="158"/>
      <c r="J45" s="158"/>
      <c r="K45" s="159"/>
      <c r="L45" s="142"/>
    </row>
    <row r="46" spans="2:12" ht="16" customHeight="1" x14ac:dyDescent="0.2">
      <c r="B46" s="148"/>
      <c r="C46" s="149"/>
      <c r="D46" s="44" t="s">
        <v>14</v>
      </c>
      <c r="E46" s="75" t="s">
        <v>37</v>
      </c>
      <c r="F46" s="36">
        <v>1</v>
      </c>
      <c r="G46" s="36">
        <v>3</v>
      </c>
      <c r="H46" s="40">
        <v>550</v>
      </c>
      <c r="I46" s="16">
        <f t="shared" ref="I46:I50" si="8">F46*G46*H46</f>
        <v>1650</v>
      </c>
      <c r="J46" s="48">
        <v>100</v>
      </c>
      <c r="K46" s="12">
        <f t="shared" ref="K46:K50" si="9">(F46*G46*H46)*((100-J46)/100)</f>
        <v>0</v>
      </c>
      <c r="L46" s="142"/>
    </row>
    <row r="47" spans="2:12" ht="16" customHeight="1" x14ac:dyDescent="0.2">
      <c r="B47" s="148"/>
      <c r="C47" s="149"/>
      <c r="D47" s="44" t="s">
        <v>9</v>
      </c>
      <c r="E47" s="75" t="s">
        <v>37</v>
      </c>
      <c r="F47" s="36">
        <v>6</v>
      </c>
      <c r="G47" s="36">
        <v>3</v>
      </c>
      <c r="H47" s="40">
        <v>200</v>
      </c>
      <c r="I47" s="16">
        <f t="shared" si="8"/>
        <v>3600</v>
      </c>
      <c r="J47" s="48">
        <v>100</v>
      </c>
      <c r="K47" s="12">
        <f t="shared" si="9"/>
        <v>0</v>
      </c>
      <c r="L47" s="142"/>
    </row>
    <row r="48" spans="2:12" ht="16" customHeight="1" x14ac:dyDescent="0.2">
      <c r="B48" s="148"/>
      <c r="C48" s="149"/>
      <c r="D48" s="44" t="s">
        <v>13</v>
      </c>
      <c r="E48" s="75" t="s">
        <v>37</v>
      </c>
      <c r="F48" s="36">
        <v>2</v>
      </c>
      <c r="G48" s="36">
        <v>3</v>
      </c>
      <c r="H48" s="40">
        <v>75</v>
      </c>
      <c r="I48" s="16">
        <f t="shared" si="8"/>
        <v>450</v>
      </c>
      <c r="J48" s="48">
        <v>100</v>
      </c>
      <c r="K48" s="12">
        <f t="shared" si="9"/>
        <v>0</v>
      </c>
      <c r="L48" s="142"/>
    </row>
    <row r="49" spans="2:12" ht="16" customHeight="1" x14ac:dyDescent="0.2">
      <c r="B49" s="148"/>
      <c r="C49" s="149"/>
      <c r="D49" s="44" t="s">
        <v>26</v>
      </c>
      <c r="E49" s="75" t="s">
        <v>37</v>
      </c>
      <c r="F49" s="36">
        <v>4</v>
      </c>
      <c r="G49" s="36">
        <v>3</v>
      </c>
      <c r="H49" s="40">
        <v>200</v>
      </c>
      <c r="I49" s="16">
        <f t="shared" si="8"/>
        <v>2400</v>
      </c>
      <c r="J49" s="48">
        <v>100</v>
      </c>
      <c r="K49" s="12">
        <f t="shared" si="9"/>
        <v>0</v>
      </c>
      <c r="L49" s="142"/>
    </row>
    <row r="50" spans="2:12" ht="16" customHeight="1" thickBot="1" x14ac:dyDescent="0.25">
      <c r="B50" s="148"/>
      <c r="C50" s="149"/>
      <c r="D50" s="44" t="s">
        <v>33</v>
      </c>
      <c r="E50" s="75" t="s">
        <v>37</v>
      </c>
      <c r="F50" s="36">
        <v>2</v>
      </c>
      <c r="G50" s="36">
        <v>3</v>
      </c>
      <c r="H50" s="40">
        <v>200</v>
      </c>
      <c r="I50" s="16">
        <f t="shared" si="8"/>
        <v>1200</v>
      </c>
      <c r="J50" s="48">
        <v>100</v>
      </c>
      <c r="K50" s="12">
        <f t="shared" si="9"/>
        <v>0</v>
      </c>
      <c r="L50" s="142"/>
    </row>
    <row r="51" spans="2:12" ht="16" customHeight="1" thickBot="1" x14ac:dyDescent="0.25">
      <c r="B51" s="148"/>
      <c r="C51" s="149"/>
      <c r="D51" s="157" t="s">
        <v>48</v>
      </c>
      <c r="E51" s="158"/>
      <c r="F51" s="158"/>
      <c r="G51" s="158"/>
      <c r="H51" s="158"/>
      <c r="I51" s="158"/>
      <c r="J51" s="158"/>
      <c r="K51" s="159"/>
      <c r="L51" s="142"/>
    </row>
    <row r="52" spans="2:12" ht="16" customHeight="1" x14ac:dyDescent="0.2">
      <c r="B52" s="148"/>
      <c r="C52" s="149"/>
      <c r="D52" s="124" t="s">
        <v>87</v>
      </c>
      <c r="E52" s="70" t="s">
        <v>37</v>
      </c>
      <c r="F52" s="70">
        <v>8</v>
      </c>
      <c r="G52" s="70">
        <v>3</v>
      </c>
      <c r="H52" s="125">
        <v>80</v>
      </c>
      <c r="I52" s="69">
        <f t="shared" ref="I52:I54" si="10">F52*G52*H52</f>
        <v>1920</v>
      </c>
      <c r="J52" s="70">
        <v>100</v>
      </c>
      <c r="K52" s="71">
        <f t="shared" ref="K52:K54" si="11">(F52*G52*H52)*((100-J52)/100)</f>
        <v>0</v>
      </c>
      <c r="L52" s="142"/>
    </row>
    <row r="53" spans="2:12" ht="16" customHeight="1" x14ac:dyDescent="0.2">
      <c r="B53" s="148"/>
      <c r="C53" s="149"/>
      <c r="D53" s="126" t="s">
        <v>10</v>
      </c>
      <c r="E53" s="127" t="s">
        <v>37</v>
      </c>
      <c r="F53" s="127">
        <v>1</v>
      </c>
      <c r="G53" s="127">
        <v>3</v>
      </c>
      <c r="H53" s="128">
        <v>80</v>
      </c>
      <c r="I53" s="129">
        <f t="shared" si="10"/>
        <v>240</v>
      </c>
      <c r="J53" s="127">
        <v>100</v>
      </c>
      <c r="K53" s="130">
        <f t="shared" si="11"/>
        <v>0</v>
      </c>
      <c r="L53" s="142"/>
    </row>
    <row r="54" spans="2:12" ht="16" customHeight="1" thickBot="1" x14ac:dyDescent="0.25">
      <c r="B54" s="150"/>
      <c r="C54" s="151"/>
      <c r="D54" s="45" t="s">
        <v>88</v>
      </c>
      <c r="E54" s="19" t="s">
        <v>37</v>
      </c>
      <c r="F54" s="19">
        <v>2</v>
      </c>
      <c r="G54" s="19">
        <v>3</v>
      </c>
      <c r="H54" s="123">
        <v>30</v>
      </c>
      <c r="I54" s="20">
        <f t="shared" si="10"/>
        <v>180</v>
      </c>
      <c r="J54" s="19">
        <v>100</v>
      </c>
      <c r="K54" s="13">
        <f t="shared" si="11"/>
        <v>0</v>
      </c>
      <c r="L54" s="143"/>
    </row>
    <row r="55" spans="2:12" ht="17" thickBot="1" x14ac:dyDescent="0.25">
      <c r="B55" s="4"/>
      <c r="C55" s="4"/>
      <c r="H55" s="154" t="s">
        <v>7</v>
      </c>
      <c r="I55" s="155"/>
      <c r="J55" s="156"/>
      <c r="K55" s="18">
        <f>SUM(K31:K54)</f>
        <v>0</v>
      </c>
    </row>
    <row r="56" spans="2:12" ht="17" thickBot="1" x14ac:dyDescent="0.25"/>
    <row r="57" spans="2:12" ht="31" thickBot="1" x14ac:dyDescent="0.25">
      <c r="B57" s="133" t="s">
        <v>45</v>
      </c>
      <c r="C57" s="134"/>
      <c r="D57" s="134"/>
      <c r="E57" s="53" t="s">
        <v>22</v>
      </c>
      <c r="F57" s="43" t="s">
        <v>1</v>
      </c>
      <c r="G57" s="43" t="s">
        <v>2</v>
      </c>
      <c r="H57" s="43" t="s">
        <v>3</v>
      </c>
      <c r="I57" s="43" t="s">
        <v>4</v>
      </c>
      <c r="J57" s="43" t="s">
        <v>5</v>
      </c>
      <c r="K57" s="43" t="s">
        <v>6</v>
      </c>
      <c r="L57" s="28" t="s">
        <v>24</v>
      </c>
    </row>
    <row r="58" spans="2:12" ht="17" thickBot="1" x14ac:dyDescent="0.25">
      <c r="B58" s="144" t="s">
        <v>49</v>
      </c>
      <c r="C58" s="145"/>
      <c r="D58" s="174" t="s">
        <v>46</v>
      </c>
      <c r="E58" s="175"/>
      <c r="F58" s="175"/>
      <c r="G58" s="175"/>
      <c r="H58" s="175"/>
      <c r="I58" s="175"/>
      <c r="J58" s="175"/>
      <c r="K58" s="176"/>
      <c r="L58" s="141" t="s">
        <v>78</v>
      </c>
    </row>
    <row r="59" spans="2:12" ht="17" x14ac:dyDescent="0.2">
      <c r="B59" s="146"/>
      <c r="C59" s="147"/>
      <c r="D59" s="91" t="s">
        <v>83</v>
      </c>
      <c r="E59" s="72" t="s">
        <v>23</v>
      </c>
      <c r="F59" s="73">
        <v>96</v>
      </c>
      <c r="G59" s="73">
        <v>2</v>
      </c>
      <c r="H59" s="179">
        <v>100</v>
      </c>
      <c r="I59" s="74">
        <f t="shared" ref="I59:I94" si="12">F59*G59*H59</f>
        <v>19200</v>
      </c>
      <c r="J59" s="73">
        <v>35</v>
      </c>
      <c r="K59" s="92">
        <f>(F59*G59*H59)*((100-J59)/100)</f>
        <v>12480</v>
      </c>
      <c r="L59" s="152"/>
    </row>
    <row r="60" spans="2:12" ht="17" x14ac:dyDescent="0.2">
      <c r="B60" s="148"/>
      <c r="C60" s="149"/>
      <c r="D60" s="60" t="s">
        <v>50</v>
      </c>
      <c r="E60" s="75" t="s">
        <v>23</v>
      </c>
      <c r="F60" s="75">
        <v>1</v>
      </c>
      <c r="G60" s="75">
        <v>2</v>
      </c>
      <c r="H60" s="16">
        <v>800</v>
      </c>
      <c r="I60" s="16">
        <f t="shared" si="12"/>
        <v>1600</v>
      </c>
      <c r="J60" s="48">
        <v>35</v>
      </c>
      <c r="K60" s="12">
        <f t="shared" ref="K60:K94" si="13">(F60*G60*H60)*((100-J60)/100)</f>
        <v>1040</v>
      </c>
      <c r="L60" s="152"/>
    </row>
    <row r="61" spans="2:12" ht="17" x14ac:dyDescent="0.2">
      <c r="B61" s="148"/>
      <c r="C61" s="149"/>
      <c r="D61" s="93" t="s">
        <v>51</v>
      </c>
      <c r="E61" s="75" t="s">
        <v>23</v>
      </c>
      <c r="F61" s="75">
        <v>1</v>
      </c>
      <c r="G61" s="75">
        <v>2</v>
      </c>
      <c r="H61" s="183">
        <v>70</v>
      </c>
      <c r="I61" s="16">
        <f t="shared" si="12"/>
        <v>140</v>
      </c>
      <c r="J61" s="48">
        <v>35</v>
      </c>
      <c r="K61" s="12">
        <f t="shared" si="13"/>
        <v>91</v>
      </c>
      <c r="L61" s="152"/>
    </row>
    <row r="62" spans="2:12" ht="17" x14ac:dyDescent="0.2">
      <c r="B62" s="148"/>
      <c r="C62" s="149"/>
      <c r="D62" s="93" t="s">
        <v>52</v>
      </c>
      <c r="E62" s="75" t="s">
        <v>23</v>
      </c>
      <c r="F62" s="75">
        <v>1</v>
      </c>
      <c r="G62" s="75">
        <v>2</v>
      </c>
      <c r="H62" s="16">
        <v>475</v>
      </c>
      <c r="I62" s="16">
        <f t="shared" si="12"/>
        <v>950</v>
      </c>
      <c r="J62" s="48">
        <v>35</v>
      </c>
      <c r="K62" s="12">
        <f t="shared" si="13"/>
        <v>617.5</v>
      </c>
      <c r="L62" s="152"/>
    </row>
    <row r="63" spans="2:12" ht="17" x14ac:dyDescent="0.2">
      <c r="B63" s="148"/>
      <c r="C63" s="149"/>
      <c r="D63" s="60" t="s">
        <v>53</v>
      </c>
      <c r="E63" s="75" t="s">
        <v>23</v>
      </c>
      <c r="F63" s="75">
        <v>6</v>
      </c>
      <c r="G63" s="75">
        <v>2</v>
      </c>
      <c r="H63" s="16">
        <v>80</v>
      </c>
      <c r="I63" s="16">
        <f t="shared" si="12"/>
        <v>960</v>
      </c>
      <c r="J63" s="48">
        <v>35</v>
      </c>
      <c r="K63" s="12">
        <f t="shared" si="13"/>
        <v>624</v>
      </c>
      <c r="L63" s="152"/>
    </row>
    <row r="64" spans="2:12" ht="17" x14ac:dyDescent="0.2">
      <c r="B64" s="148"/>
      <c r="C64" s="149"/>
      <c r="D64" s="60" t="s">
        <v>54</v>
      </c>
      <c r="E64" s="75" t="s">
        <v>23</v>
      </c>
      <c r="F64" s="75">
        <v>6</v>
      </c>
      <c r="G64" s="75">
        <v>2</v>
      </c>
      <c r="H64" s="16">
        <v>40</v>
      </c>
      <c r="I64" s="16">
        <f t="shared" si="12"/>
        <v>480</v>
      </c>
      <c r="J64" s="48">
        <v>35</v>
      </c>
      <c r="K64" s="12">
        <f t="shared" si="13"/>
        <v>312</v>
      </c>
      <c r="L64" s="152"/>
    </row>
    <row r="65" spans="2:12" ht="17" x14ac:dyDescent="0.2">
      <c r="B65" s="148"/>
      <c r="C65" s="149"/>
      <c r="D65" s="60" t="s">
        <v>55</v>
      </c>
      <c r="E65" s="75" t="s">
        <v>23</v>
      </c>
      <c r="F65" s="75">
        <v>6</v>
      </c>
      <c r="G65" s="75">
        <v>2</v>
      </c>
      <c r="H65" s="16">
        <v>45</v>
      </c>
      <c r="I65" s="16">
        <f t="shared" si="12"/>
        <v>540</v>
      </c>
      <c r="J65" s="48">
        <v>35</v>
      </c>
      <c r="K65" s="12">
        <f t="shared" si="13"/>
        <v>351</v>
      </c>
      <c r="L65" s="152"/>
    </row>
    <row r="66" spans="2:12" ht="18" thickBot="1" x14ac:dyDescent="0.25">
      <c r="B66" s="148"/>
      <c r="C66" s="149"/>
      <c r="D66" s="101" t="s">
        <v>62</v>
      </c>
      <c r="E66" s="102" t="s">
        <v>23</v>
      </c>
      <c r="F66" s="103">
        <v>20</v>
      </c>
      <c r="G66" s="102">
        <v>2</v>
      </c>
      <c r="H66" s="183">
        <v>2.5</v>
      </c>
      <c r="I66" s="104">
        <f t="shared" ref="I66" si="14">F66*G66*H66</f>
        <v>100</v>
      </c>
      <c r="J66" s="78">
        <v>35</v>
      </c>
      <c r="K66" s="105">
        <f t="shared" ref="K66" si="15">(F66*G66*H66)*((100-J66)/100)</f>
        <v>65</v>
      </c>
      <c r="L66" s="152"/>
    </row>
    <row r="67" spans="2:12" ht="17" x14ac:dyDescent="0.2">
      <c r="B67" s="148"/>
      <c r="C67" s="149"/>
      <c r="D67" s="93" t="s">
        <v>56</v>
      </c>
      <c r="E67" s="75" t="s">
        <v>23</v>
      </c>
      <c r="F67" s="75">
        <v>1</v>
      </c>
      <c r="G67" s="75">
        <v>2</v>
      </c>
      <c r="H67" s="183">
        <v>1400</v>
      </c>
      <c r="I67" s="16">
        <f t="shared" si="12"/>
        <v>2800</v>
      </c>
      <c r="J67" s="48">
        <v>35</v>
      </c>
      <c r="K67" s="12">
        <f>(F67*G67*H67)*((100-J67)/100)</f>
        <v>1820</v>
      </c>
      <c r="L67" s="152"/>
    </row>
    <row r="68" spans="2:12" ht="17" x14ac:dyDescent="0.2">
      <c r="B68" s="148"/>
      <c r="C68" s="149"/>
      <c r="D68" s="93" t="s">
        <v>57</v>
      </c>
      <c r="E68" s="75" t="s">
        <v>23</v>
      </c>
      <c r="F68" s="75">
        <v>1</v>
      </c>
      <c r="G68" s="75">
        <v>2</v>
      </c>
      <c r="H68" s="16">
        <v>1300</v>
      </c>
      <c r="I68" s="16">
        <f t="shared" si="12"/>
        <v>2600</v>
      </c>
      <c r="J68" s="48">
        <v>35</v>
      </c>
      <c r="K68" s="12">
        <f t="shared" ref="K68" si="16">(F68*G68*H68)*((100-J68)/100)</f>
        <v>1690</v>
      </c>
      <c r="L68" s="152"/>
    </row>
    <row r="69" spans="2:12" ht="17" x14ac:dyDescent="0.2">
      <c r="B69" s="148"/>
      <c r="C69" s="149"/>
      <c r="D69" s="58" t="s">
        <v>58</v>
      </c>
      <c r="E69" s="75" t="s">
        <v>23</v>
      </c>
      <c r="F69" s="48">
        <v>1</v>
      </c>
      <c r="G69" s="75">
        <v>2</v>
      </c>
      <c r="H69" s="16">
        <v>1000</v>
      </c>
      <c r="I69" s="16">
        <f t="shared" si="12"/>
        <v>2000</v>
      </c>
      <c r="J69" s="48">
        <v>35</v>
      </c>
      <c r="K69" s="12">
        <f t="shared" si="13"/>
        <v>1300</v>
      </c>
      <c r="L69" s="152"/>
    </row>
    <row r="70" spans="2:12" ht="17" x14ac:dyDescent="0.2">
      <c r="B70" s="148"/>
      <c r="C70" s="149"/>
      <c r="D70" s="58" t="s">
        <v>59</v>
      </c>
      <c r="E70" s="75" t="s">
        <v>23</v>
      </c>
      <c r="F70" s="48">
        <v>1</v>
      </c>
      <c r="G70" s="75">
        <v>2</v>
      </c>
      <c r="H70" s="16">
        <v>400</v>
      </c>
      <c r="I70" s="16">
        <f t="shared" si="12"/>
        <v>800</v>
      </c>
      <c r="J70" s="48">
        <v>35</v>
      </c>
      <c r="K70" s="12">
        <f t="shared" si="13"/>
        <v>520</v>
      </c>
      <c r="L70" s="152"/>
    </row>
    <row r="71" spans="2:12" ht="17" x14ac:dyDescent="0.2">
      <c r="B71" s="148"/>
      <c r="C71" s="149"/>
      <c r="D71" s="58" t="s">
        <v>40</v>
      </c>
      <c r="E71" s="75" t="s">
        <v>23</v>
      </c>
      <c r="F71" s="48">
        <v>2</v>
      </c>
      <c r="G71" s="75">
        <v>2</v>
      </c>
      <c r="H71" s="16">
        <v>200</v>
      </c>
      <c r="I71" s="16">
        <f t="shared" si="12"/>
        <v>800</v>
      </c>
      <c r="J71" s="48">
        <v>35</v>
      </c>
      <c r="K71" s="12">
        <f t="shared" si="13"/>
        <v>520</v>
      </c>
      <c r="L71" s="152"/>
    </row>
    <row r="72" spans="2:12" ht="17" x14ac:dyDescent="0.2">
      <c r="B72" s="148"/>
      <c r="C72" s="149"/>
      <c r="D72" s="58" t="s">
        <v>79</v>
      </c>
      <c r="E72" s="75" t="s">
        <v>23</v>
      </c>
      <c r="F72" s="48">
        <v>1</v>
      </c>
      <c r="G72" s="75">
        <v>2</v>
      </c>
      <c r="H72" s="16">
        <v>200</v>
      </c>
      <c r="I72" s="16">
        <f t="shared" si="12"/>
        <v>400</v>
      </c>
      <c r="J72" s="48">
        <v>35</v>
      </c>
      <c r="K72" s="12">
        <f t="shared" si="13"/>
        <v>260</v>
      </c>
      <c r="L72" s="152"/>
    </row>
    <row r="73" spans="2:12" ht="17" x14ac:dyDescent="0.2">
      <c r="B73" s="148"/>
      <c r="C73" s="149"/>
      <c r="D73" s="58" t="s">
        <v>60</v>
      </c>
      <c r="E73" s="75" t="s">
        <v>23</v>
      </c>
      <c r="F73" s="48">
        <v>1</v>
      </c>
      <c r="G73" s="75">
        <v>2</v>
      </c>
      <c r="H73" s="16">
        <v>150</v>
      </c>
      <c r="I73" s="16">
        <f t="shared" si="12"/>
        <v>300</v>
      </c>
      <c r="J73" s="48">
        <v>35</v>
      </c>
      <c r="K73" s="12">
        <f t="shared" si="13"/>
        <v>195</v>
      </c>
      <c r="L73" s="152"/>
    </row>
    <row r="74" spans="2:12" ht="17" x14ac:dyDescent="0.2">
      <c r="B74" s="148"/>
      <c r="C74" s="149"/>
      <c r="D74" s="58" t="s">
        <v>12</v>
      </c>
      <c r="E74" s="75" t="s">
        <v>23</v>
      </c>
      <c r="F74" s="48">
        <v>2</v>
      </c>
      <c r="G74" s="75">
        <v>2</v>
      </c>
      <c r="H74" s="183">
        <v>70</v>
      </c>
      <c r="I74" s="16">
        <f t="shared" si="12"/>
        <v>280</v>
      </c>
      <c r="J74" s="48">
        <v>35</v>
      </c>
      <c r="K74" s="12">
        <f t="shared" si="13"/>
        <v>182</v>
      </c>
      <c r="L74" s="152"/>
    </row>
    <row r="75" spans="2:12" ht="17" x14ac:dyDescent="0.2">
      <c r="B75" s="148"/>
      <c r="C75" s="149"/>
      <c r="D75" s="58" t="s">
        <v>61</v>
      </c>
      <c r="E75" s="75" t="s">
        <v>23</v>
      </c>
      <c r="F75" s="48">
        <v>2</v>
      </c>
      <c r="G75" s="75">
        <v>2</v>
      </c>
      <c r="H75" s="183">
        <v>990</v>
      </c>
      <c r="I75" s="76">
        <f t="shared" si="12"/>
        <v>3960</v>
      </c>
      <c r="J75" s="48">
        <v>35</v>
      </c>
      <c r="K75" s="94">
        <f t="shared" si="13"/>
        <v>2574</v>
      </c>
      <c r="L75" s="152"/>
    </row>
    <row r="76" spans="2:12" ht="17" x14ac:dyDescent="0.2">
      <c r="B76" s="148"/>
      <c r="C76" s="149"/>
      <c r="D76" s="59" t="s">
        <v>76</v>
      </c>
      <c r="E76" s="75" t="s">
        <v>23</v>
      </c>
      <c r="F76" s="61">
        <v>2</v>
      </c>
      <c r="G76" s="75">
        <v>2</v>
      </c>
      <c r="H76" s="184">
        <v>100</v>
      </c>
      <c r="I76" s="16">
        <f>F76*G76*H76</f>
        <v>400</v>
      </c>
      <c r="J76" s="48">
        <v>40</v>
      </c>
      <c r="K76" s="12">
        <f>(F76*G76*H76)*((100-J76)/100)</f>
        <v>240</v>
      </c>
      <c r="L76" s="152"/>
    </row>
    <row r="77" spans="2:12" ht="17" x14ac:dyDescent="0.2">
      <c r="B77" s="148"/>
      <c r="C77" s="149"/>
      <c r="D77" s="58" t="s">
        <v>11</v>
      </c>
      <c r="E77" s="75" t="s">
        <v>23</v>
      </c>
      <c r="F77" s="48">
        <v>1</v>
      </c>
      <c r="G77" s="75">
        <v>2</v>
      </c>
      <c r="H77" s="183">
        <v>50</v>
      </c>
      <c r="I77" s="16">
        <f t="shared" si="12"/>
        <v>100</v>
      </c>
      <c r="J77" s="48">
        <v>35</v>
      </c>
      <c r="K77" s="12">
        <f t="shared" si="13"/>
        <v>65</v>
      </c>
      <c r="L77" s="152"/>
    </row>
    <row r="78" spans="2:12" ht="17" x14ac:dyDescent="0.2">
      <c r="B78" s="148"/>
      <c r="C78" s="149"/>
      <c r="D78" s="58" t="s">
        <v>19</v>
      </c>
      <c r="E78" s="75" t="s">
        <v>23</v>
      </c>
      <c r="F78" s="48">
        <v>1</v>
      </c>
      <c r="G78" s="75">
        <v>2</v>
      </c>
      <c r="H78" s="183">
        <v>60</v>
      </c>
      <c r="I78" s="16">
        <f t="shared" si="12"/>
        <v>120</v>
      </c>
      <c r="J78" s="48">
        <v>35</v>
      </c>
      <c r="K78" s="12">
        <f t="shared" si="13"/>
        <v>78</v>
      </c>
      <c r="L78" s="152"/>
    </row>
    <row r="79" spans="2:12" ht="18" thickBot="1" x14ac:dyDescent="0.25">
      <c r="B79" s="148"/>
      <c r="C79" s="149"/>
      <c r="D79" s="95" t="s">
        <v>20</v>
      </c>
      <c r="E79" s="77" t="s">
        <v>23</v>
      </c>
      <c r="F79" s="78">
        <v>1</v>
      </c>
      <c r="G79" s="77">
        <v>2</v>
      </c>
      <c r="H79" s="79">
        <v>45</v>
      </c>
      <c r="I79" s="16">
        <f t="shared" si="12"/>
        <v>90</v>
      </c>
      <c r="J79" s="48">
        <v>35</v>
      </c>
      <c r="K79" s="12">
        <f t="shared" si="13"/>
        <v>58.5</v>
      </c>
      <c r="L79" s="152"/>
    </row>
    <row r="80" spans="2:12" ht="17" thickBot="1" x14ac:dyDescent="0.25">
      <c r="B80" s="148"/>
      <c r="C80" s="149"/>
      <c r="D80" s="171" t="s">
        <v>63</v>
      </c>
      <c r="E80" s="172"/>
      <c r="F80" s="172"/>
      <c r="G80" s="172"/>
      <c r="H80" s="172"/>
      <c r="I80" s="172"/>
      <c r="J80" s="172"/>
      <c r="K80" s="173"/>
      <c r="L80" s="152"/>
    </row>
    <row r="81" spans="2:12" ht="17" x14ac:dyDescent="0.2">
      <c r="B81" s="148"/>
      <c r="C81" s="149"/>
      <c r="D81" s="106" t="s">
        <v>14</v>
      </c>
      <c r="E81" s="107" t="s">
        <v>23</v>
      </c>
      <c r="F81" s="70">
        <v>1</v>
      </c>
      <c r="G81" s="107">
        <v>2</v>
      </c>
      <c r="H81" s="185">
        <v>550</v>
      </c>
      <c r="I81" s="69">
        <f t="shared" si="12"/>
        <v>1100</v>
      </c>
      <c r="J81" s="70">
        <v>35</v>
      </c>
      <c r="K81" s="71">
        <f t="shared" si="13"/>
        <v>715</v>
      </c>
      <c r="L81" s="152"/>
    </row>
    <row r="82" spans="2:12" ht="17" x14ac:dyDescent="0.2">
      <c r="B82" s="148"/>
      <c r="C82" s="149"/>
      <c r="D82" s="58" t="s">
        <v>9</v>
      </c>
      <c r="E82" s="75" t="s">
        <v>23</v>
      </c>
      <c r="F82" s="48">
        <v>8</v>
      </c>
      <c r="G82" s="75">
        <v>2</v>
      </c>
      <c r="H82" s="16">
        <v>200</v>
      </c>
      <c r="I82" s="16">
        <f t="shared" si="12"/>
        <v>3200</v>
      </c>
      <c r="J82" s="48">
        <v>35</v>
      </c>
      <c r="K82" s="12">
        <f t="shared" si="13"/>
        <v>2080</v>
      </c>
      <c r="L82" s="152"/>
    </row>
    <row r="83" spans="2:12" ht="17" x14ac:dyDescent="0.2">
      <c r="B83" s="148"/>
      <c r="C83" s="149"/>
      <c r="D83" s="58" t="s">
        <v>64</v>
      </c>
      <c r="E83" s="80" t="s">
        <v>23</v>
      </c>
      <c r="F83" s="56">
        <v>2</v>
      </c>
      <c r="G83" s="80">
        <v>2</v>
      </c>
      <c r="H83" s="57">
        <v>200</v>
      </c>
      <c r="I83" s="57">
        <f t="shared" si="12"/>
        <v>800</v>
      </c>
      <c r="J83" s="56">
        <v>35</v>
      </c>
      <c r="K83" s="96">
        <f t="shared" si="13"/>
        <v>520</v>
      </c>
      <c r="L83" s="152"/>
    </row>
    <row r="84" spans="2:12" ht="17" x14ac:dyDescent="0.2">
      <c r="B84" s="148"/>
      <c r="C84" s="149"/>
      <c r="D84" s="58" t="s">
        <v>65</v>
      </c>
      <c r="E84" s="80" t="s">
        <v>23</v>
      </c>
      <c r="F84" s="56">
        <v>2</v>
      </c>
      <c r="G84" s="80">
        <v>2</v>
      </c>
      <c r="H84" s="183">
        <v>150</v>
      </c>
      <c r="I84" s="57">
        <f t="shared" si="12"/>
        <v>600</v>
      </c>
      <c r="J84" s="56">
        <v>35</v>
      </c>
      <c r="K84" s="96">
        <f t="shared" si="13"/>
        <v>390</v>
      </c>
      <c r="L84" s="152"/>
    </row>
    <row r="85" spans="2:12" ht="17" x14ac:dyDescent="0.2">
      <c r="B85" s="148"/>
      <c r="C85" s="149"/>
      <c r="D85" s="58" t="s">
        <v>66</v>
      </c>
      <c r="E85" s="80" t="s">
        <v>23</v>
      </c>
      <c r="F85" s="56">
        <v>2</v>
      </c>
      <c r="G85" s="80">
        <v>2</v>
      </c>
      <c r="H85" s="57">
        <v>300</v>
      </c>
      <c r="I85" s="57">
        <f t="shared" si="12"/>
        <v>1200</v>
      </c>
      <c r="J85" s="56">
        <v>35</v>
      </c>
      <c r="K85" s="96">
        <f t="shared" si="13"/>
        <v>780</v>
      </c>
      <c r="L85" s="152"/>
    </row>
    <row r="86" spans="2:12" ht="17" x14ac:dyDescent="0.2">
      <c r="B86" s="148"/>
      <c r="C86" s="149"/>
      <c r="D86" s="95" t="s">
        <v>67</v>
      </c>
      <c r="E86" s="81" t="s">
        <v>23</v>
      </c>
      <c r="F86" s="82">
        <v>2</v>
      </c>
      <c r="G86" s="80">
        <v>2</v>
      </c>
      <c r="H86" s="57">
        <v>300</v>
      </c>
      <c r="I86" s="57">
        <f t="shared" si="12"/>
        <v>1200</v>
      </c>
      <c r="J86" s="56">
        <v>35</v>
      </c>
      <c r="K86" s="96">
        <f t="shared" si="13"/>
        <v>780</v>
      </c>
      <c r="L86" s="152"/>
    </row>
    <row r="87" spans="2:12" ht="17" x14ac:dyDescent="0.2">
      <c r="B87" s="148"/>
      <c r="C87" s="149"/>
      <c r="D87" s="93" t="s">
        <v>21</v>
      </c>
      <c r="E87" s="83" t="s">
        <v>23</v>
      </c>
      <c r="F87" s="84">
        <v>1</v>
      </c>
      <c r="G87" s="85">
        <v>2</v>
      </c>
      <c r="H87" s="86">
        <v>200</v>
      </c>
      <c r="I87" s="86">
        <f t="shared" si="12"/>
        <v>400</v>
      </c>
      <c r="J87" s="82">
        <v>35</v>
      </c>
      <c r="K87" s="97">
        <f t="shared" si="13"/>
        <v>260</v>
      </c>
      <c r="L87" s="152"/>
    </row>
    <row r="88" spans="2:12" ht="18" thickBot="1" x14ac:dyDescent="0.25">
      <c r="B88" s="148"/>
      <c r="C88" s="149"/>
      <c r="D88" s="101" t="s">
        <v>68</v>
      </c>
      <c r="E88" s="108" t="s">
        <v>23</v>
      </c>
      <c r="F88" s="109">
        <v>1</v>
      </c>
      <c r="G88" s="108">
        <v>2</v>
      </c>
      <c r="H88" s="110">
        <v>200</v>
      </c>
      <c r="I88" s="110">
        <f t="shared" si="12"/>
        <v>400</v>
      </c>
      <c r="J88" s="111">
        <v>35</v>
      </c>
      <c r="K88" s="112">
        <f t="shared" si="13"/>
        <v>260</v>
      </c>
      <c r="L88" s="152"/>
    </row>
    <row r="89" spans="2:12" ht="17" thickBot="1" x14ac:dyDescent="0.25">
      <c r="B89" s="148"/>
      <c r="C89" s="149"/>
      <c r="D89" s="174" t="s">
        <v>69</v>
      </c>
      <c r="E89" s="175"/>
      <c r="F89" s="175"/>
      <c r="G89" s="175"/>
      <c r="H89" s="175"/>
      <c r="I89" s="175"/>
      <c r="J89" s="175"/>
      <c r="K89" s="176"/>
      <c r="L89" s="152"/>
    </row>
    <row r="90" spans="2:12" ht="17" x14ac:dyDescent="0.2">
      <c r="B90" s="148"/>
      <c r="C90" s="149"/>
      <c r="D90" s="113" t="s">
        <v>70</v>
      </c>
      <c r="E90" s="114" t="s">
        <v>23</v>
      </c>
      <c r="F90" s="115">
        <v>8</v>
      </c>
      <c r="G90" s="114">
        <v>2</v>
      </c>
      <c r="H90" s="116">
        <v>300</v>
      </c>
      <c r="I90" s="117">
        <f t="shared" si="12"/>
        <v>4800</v>
      </c>
      <c r="J90" s="118">
        <v>35</v>
      </c>
      <c r="K90" s="119">
        <f t="shared" si="13"/>
        <v>3120</v>
      </c>
      <c r="L90" s="152"/>
    </row>
    <row r="91" spans="2:12" ht="17" x14ac:dyDescent="0.2">
      <c r="B91" s="148"/>
      <c r="C91" s="149"/>
      <c r="D91" s="98" t="s">
        <v>71</v>
      </c>
      <c r="E91" s="80" t="s">
        <v>23</v>
      </c>
      <c r="F91" s="87">
        <v>12</v>
      </c>
      <c r="G91" s="80">
        <v>2</v>
      </c>
      <c r="H91" s="88">
        <v>120</v>
      </c>
      <c r="I91" s="57">
        <f t="shared" si="12"/>
        <v>2880</v>
      </c>
      <c r="J91" s="56">
        <v>35</v>
      </c>
      <c r="K91" s="96">
        <f t="shared" si="13"/>
        <v>1872</v>
      </c>
      <c r="L91" s="152"/>
    </row>
    <row r="92" spans="2:12" ht="17" x14ac:dyDescent="0.2">
      <c r="B92" s="148"/>
      <c r="C92" s="149"/>
      <c r="D92" s="98" t="s">
        <v>72</v>
      </c>
      <c r="E92" s="80" t="s">
        <v>23</v>
      </c>
      <c r="F92" s="87">
        <v>8</v>
      </c>
      <c r="G92" s="80">
        <v>2</v>
      </c>
      <c r="H92" s="88">
        <v>230</v>
      </c>
      <c r="I92" s="57">
        <f t="shared" si="12"/>
        <v>3680</v>
      </c>
      <c r="J92" s="56">
        <v>35</v>
      </c>
      <c r="K92" s="96">
        <f t="shared" si="13"/>
        <v>2392</v>
      </c>
      <c r="L92" s="152"/>
    </row>
    <row r="93" spans="2:12" ht="17" x14ac:dyDescent="0.2">
      <c r="B93" s="148"/>
      <c r="C93" s="149"/>
      <c r="D93" s="98" t="s">
        <v>73</v>
      </c>
      <c r="E93" s="80" t="s">
        <v>23</v>
      </c>
      <c r="F93" s="87">
        <v>2</v>
      </c>
      <c r="G93" s="80">
        <v>2</v>
      </c>
      <c r="H93" s="88">
        <v>280</v>
      </c>
      <c r="I93" s="57">
        <f t="shared" si="12"/>
        <v>1120</v>
      </c>
      <c r="J93" s="56">
        <v>35</v>
      </c>
      <c r="K93" s="96">
        <f t="shared" si="13"/>
        <v>728</v>
      </c>
      <c r="L93" s="152"/>
    </row>
    <row r="94" spans="2:12" ht="17" x14ac:dyDescent="0.2">
      <c r="B94" s="148"/>
      <c r="C94" s="149"/>
      <c r="D94" s="98" t="s">
        <v>74</v>
      </c>
      <c r="E94" s="80" t="s">
        <v>23</v>
      </c>
      <c r="F94" s="87">
        <v>1</v>
      </c>
      <c r="G94" s="80">
        <v>2</v>
      </c>
      <c r="H94" s="184">
        <v>300</v>
      </c>
      <c r="I94" s="57">
        <f t="shared" si="12"/>
        <v>600</v>
      </c>
      <c r="J94" s="56">
        <v>35</v>
      </c>
      <c r="K94" s="96">
        <f t="shared" si="13"/>
        <v>390</v>
      </c>
      <c r="L94" s="152"/>
    </row>
    <row r="95" spans="2:12" x14ac:dyDescent="0.2">
      <c r="B95" s="148"/>
      <c r="C95" s="149"/>
      <c r="D95" s="59" t="s">
        <v>75</v>
      </c>
      <c r="E95" s="61" t="s">
        <v>23</v>
      </c>
      <c r="F95" s="61">
        <v>1</v>
      </c>
      <c r="G95" s="75">
        <v>2</v>
      </c>
      <c r="H95" s="184">
        <v>900</v>
      </c>
      <c r="I95" s="16">
        <f>F95*G95*H95</f>
        <v>1800</v>
      </c>
      <c r="J95" s="48">
        <v>35</v>
      </c>
      <c r="K95" s="12">
        <f>(F95*G95*H95)*((100-J95)/100)</f>
        <v>1170</v>
      </c>
      <c r="L95" s="152"/>
    </row>
    <row r="96" spans="2:12" ht="16" customHeight="1" x14ac:dyDescent="0.2">
      <c r="B96" s="148"/>
      <c r="C96" s="149"/>
      <c r="D96" s="98" t="s">
        <v>92</v>
      </c>
      <c r="E96" s="80" t="s">
        <v>23</v>
      </c>
      <c r="F96" s="87">
        <v>2</v>
      </c>
      <c r="G96" s="80">
        <v>2</v>
      </c>
      <c r="H96" s="184">
        <v>45</v>
      </c>
      <c r="I96" s="57">
        <f>F96*G96*H96</f>
        <v>180</v>
      </c>
      <c r="J96" s="56">
        <v>35</v>
      </c>
      <c r="K96" s="96">
        <f>(F96*G96*H96)*((100-J96)/100)</f>
        <v>117</v>
      </c>
      <c r="L96" s="152"/>
    </row>
    <row r="97" spans="2:12" ht="17" x14ac:dyDescent="0.2">
      <c r="B97" s="148"/>
      <c r="C97" s="149"/>
      <c r="D97" s="194" t="s">
        <v>53</v>
      </c>
      <c r="E97" s="189" t="s">
        <v>23</v>
      </c>
      <c r="F97" s="195">
        <v>6</v>
      </c>
      <c r="G97" s="189">
        <v>2</v>
      </c>
      <c r="H97" s="184">
        <v>80</v>
      </c>
      <c r="I97" s="183">
        <f>F97*G97*H97</f>
        <v>960</v>
      </c>
      <c r="J97" s="193">
        <v>35</v>
      </c>
      <c r="K97" s="191">
        <f>(F97*G97*H97)*((100-J97)/100)</f>
        <v>624</v>
      </c>
      <c r="L97" s="152"/>
    </row>
    <row r="98" spans="2:12" ht="17" x14ac:dyDescent="0.2">
      <c r="B98" s="169"/>
      <c r="C98" s="170"/>
      <c r="D98" s="196" t="s">
        <v>93</v>
      </c>
      <c r="E98" s="197" t="s">
        <v>23</v>
      </c>
      <c r="F98" s="198">
        <v>2</v>
      </c>
      <c r="G98" s="197">
        <v>2</v>
      </c>
      <c r="H98" s="199">
        <v>120</v>
      </c>
      <c r="I98" s="200">
        <f>F98*G98*H98</f>
        <v>480</v>
      </c>
      <c r="J98" s="190">
        <v>35</v>
      </c>
      <c r="K98" s="201">
        <f>(F98*G98*H98)*((100-J98)/100)</f>
        <v>312</v>
      </c>
      <c r="L98" s="152"/>
    </row>
    <row r="99" spans="2:12" ht="18" thickBot="1" x14ac:dyDescent="0.25">
      <c r="B99" s="150"/>
      <c r="C99" s="151"/>
      <c r="D99" s="99" t="s">
        <v>77</v>
      </c>
      <c r="E99" s="100" t="s">
        <v>23</v>
      </c>
      <c r="F99" s="89">
        <v>1</v>
      </c>
      <c r="G99" s="100">
        <v>2</v>
      </c>
      <c r="H99" s="90">
        <v>200</v>
      </c>
      <c r="I99" s="20">
        <f>F99*G99*H99</f>
        <v>400</v>
      </c>
      <c r="J99" s="19">
        <v>35</v>
      </c>
      <c r="K99" s="13">
        <f>(F99*G99*H99)*((100-J99)/100)</f>
        <v>260</v>
      </c>
      <c r="L99" s="153"/>
    </row>
    <row r="100" spans="2:12" ht="17" thickBot="1" x14ac:dyDescent="0.25">
      <c r="B100" s="4"/>
      <c r="C100" s="4"/>
      <c r="H100" s="154" t="s">
        <v>7</v>
      </c>
      <c r="I100" s="155"/>
      <c r="J100" s="156"/>
      <c r="K100" s="18">
        <f>SUM(K58:K99)</f>
        <v>41853</v>
      </c>
    </row>
    <row r="101" spans="2:12" ht="17" thickBot="1" x14ac:dyDescent="0.25"/>
    <row r="102" spans="2:12" ht="31" thickBot="1" x14ac:dyDescent="0.25">
      <c r="B102" s="133" t="s">
        <v>45</v>
      </c>
      <c r="C102" s="134"/>
      <c r="D102" s="134"/>
      <c r="E102" s="53" t="s">
        <v>22</v>
      </c>
      <c r="F102" s="43" t="s">
        <v>1</v>
      </c>
      <c r="G102" s="43" t="s">
        <v>2</v>
      </c>
      <c r="H102" s="43" t="s">
        <v>3</v>
      </c>
      <c r="I102" s="43" t="s">
        <v>4</v>
      </c>
      <c r="J102" s="43" t="s">
        <v>5</v>
      </c>
      <c r="K102" s="43" t="s">
        <v>6</v>
      </c>
      <c r="L102" s="28" t="s">
        <v>24</v>
      </c>
    </row>
    <row r="103" spans="2:12" ht="16" customHeight="1" thickBot="1" x14ac:dyDescent="0.25">
      <c r="B103" s="144" t="s">
        <v>81</v>
      </c>
      <c r="C103" s="145"/>
      <c r="D103" s="174" t="s">
        <v>46</v>
      </c>
      <c r="E103" s="175"/>
      <c r="F103" s="175"/>
      <c r="G103" s="175"/>
      <c r="H103" s="175"/>
      <c r="I103" s="175"/>
      <c r="J103" s="175"/>
      <c r="K103" s="176"/>
      <c r="L103" s="141" t="s">
        <v>41</v>
      </c>
    </row>
    <row r="104" spans="2:12" ht="17" x14ac:dyDescent="0.2">
      <c r="B104" s="148"/>
      <c r="C104" s="149"/>
      <c r="D104" s="91" t="s">
        <v>82</v>
      </c>
      <c r="E104" s="72" t="s">
        <v>23</v>
      </c>
      <c r="F104" s="73">
        <v>60</v>
      </c>
      <c r="G104" s="73">
        <v>2</v>
      </c>
      <c r="H104" s="179">
        <v>100</v>
      </c>
      <c r="I104" s="74">
        <f t="shared" ref="I104:I120" si="17">F104*G104*H104</f>
        <v>12000</v>
      </c>
      <c r="J104" s="73">
        <v>35</v>
      </c>
      <c r="K104" s="92">
        <f>(F104*G104*H104)*((100-J104)/100)</f>
        <v>7800</v>
      </c>
      <c r="L104" s="142"/>
    </row>
    <row r="105" spans="2:12" ht="17" x14ac:dyDescent="0.2">
      <c r="B105" s="148"/>
      <c r="C105" s="149"/>
      <c r="D105" s="60" t="s">
        <v>50</v>
      </c>
      <c r="E105" s="75" t="s">
        <v>23</v>
      </c>
      <c r="F105" s="75">
        <v>1</v>
      </c>
      <c r="G105" s="75">
        <v>2</v>
      </c>
      <c r="H105" s="16">
        <v>800</v>
      </c>
      <c r="I105" s="16">
        <f t="shared" si="17"/>
        <v>1600</v>
      </c>
      <c r="J105" s="48">
        <v>35</v>
      </c>
      <c r="K105" s="12">
        <f t="shared" ref="K105:K111" si="18">(F105*G105*H105)*((100-J105)/100)</f>
        <v>1040</v>
      </c>
      <c r="L105" s="142"/>
    </row>
    <row r="106" spans="2:12" ht="17" x14ac:dyDescent="0.2">
      <c r="B106" s="148"/>
      <c r="C106" s="149"/>
      <c r="D106" s="93" t="s">
        <v>51</v>
      </c>
      <c r="E106" s="75" t="s">
        <v>23</v>
      </c>
      <c r="F106" s="75">
        <v>1</v>
      </c>
      <c r="G106" s="75">
        <v>2</v>
      </c>
      <c r="H106" s="183">
        <v>75</v>
      </c>
      <c r="I106" s="16">
        <f t="shared" si="17"/>
        <v>150</v>
      </c>
      <c r="J106" s="48">
        <v>35</v>
      </c>
      <c r="K106" s="12">
        <f t="shared" si="18"/>
        <v>97.5</v>
      </c>
      <c r="L106" s="142"/>
    </row>
    <row r="107" spans="2:12" ht="17" x14ac:dyDescent="0.2">
      <c r="B107" s="148"/>
      <c r="C107" s="149"/>
      <c r="D107" s="93" t="s">
        <v>52</v>
      </c>
      <c r="E107" s="75" t="s">
        <v>23</v>
      </c>
      <c r="F107" s="75">
        <v>1</v>
      </c>
      <c r="G107" s="75">
        <v>2</v>
      </c>
      <c r="H107" s="16">
        <v>475</v>
      </c>
      <c r="I107" s="16">
        <f t="shared" si="17"/>
        <v>950</v>
      </c>
      <c r="J107" s="48">
        <v>35</v>
      </c>
      <c r="K107" s="12">
        <f t="shared" si="18"/>
        <v>617.5</v>
      </c>
      <c r="L107" s="142"/>
    </row>
    <row r="108" spans="2:12" ht="17" x14ac:dyDescent="0.2">
      <c r="B108" s="148"/>
      <c r="C108" s="149"/>
      <c r="D108" s="60" t="s">
        <v>53</v>
      </c>
      <c r="E108" s="75" t="s">
        <v>23</v>
      </c>
      <c r="F108" s="75">
        <v>4</v>
      </c>
      <c r="G108" s="75">
        <v>2</v>
      </c>
      <c r="H108" s="16">
        <v>80</v>
      </c>
      <c r="I108" s="16">
        <f t="shared" si="17"/>
        <v>640</v>
      </c>
      <c r="J108" s="48">
        <v>35</v>
      </c>
      <c r="K108" s="12">
        <f t="shared" si="18"/>
        <v>416</v>
      </c>
      <c r="L108" s="142"/>
    </row>
    <row r="109" spans="2:12" ht="17" x14ac:dyDescent="0.2">
      <c r="B109" s="148"/>
      <c r="C109" s="149"/>
      <c r="D109" s="60" t="s">
        <v>54</v>
      </c>
      <c r="E109" s="75" t="s">
        <v>23</v>
      </c>
      <c r="F109" s="75">
        <v>4</v>
      </c>
      <c r="G109" s="75">
        <v>2</v>
      </c>
      <c r="H109" s="16">
        <v>40</v>
      </c>
      <c r="I109" s="16">
        <f t="shared" si="17"/>
        <v>320</v>
      </c>
      <c r="J109" s="48">
        <v>35</v>
      </c>
      <c r="K109" s="12">
        <f t="shared" si="18"/>
        <v>208</v>
      </c>
      <c r="L109" s="142"/>
    </row>
    <row r="110" spans="2:12" ht="17" x14ac:dyDescent="0.2">
      <c r="B110" s="148"/>
      <c r="C110" s="149"/>
      <c r="D110" s="60" t="s">
        <v>55</v>
      </c>
      <c r="E110" s="75" t="s">
        <v>23</v>
      </c>
      <c r="F110" s="75">
        <v>4</v>
      </c>
      <c r="G110" s="75">
        <v>2</v>
      </c>
      <c r="H110" s="16">
        <v>45</v>
      </c>
      <c r="I110" s="16">
        <f t="shared" si="17"/>
        <v>360</v>
      </c>
      <c r="J110" s="48">
        <v>35</v>
      </c>
      <c r="K110" s="12">
        <f t="shared" si="18"/>
        <v>234</v>
      </c>
      <c r="L110" s="142"/>
    </row>
    <row r="111" spans="2:12" ht="17" x14ac:dyDescent="0.2">
      <c r="B111" s="148"/>
      <c r="C111" s="149"/>
      <c r="D111" s="101" t="s">
        <v>62</v>
      </c>
      <c r="E111" s="102" t="s">
        <v>23</v>
      </c>
      <c r="F111" s="103">
        <v>20</v>
      </c>
      <c r="G111" s="102">
        <v>2</v>
      </c>
      <c r="H111" s="186">
        <v>2.5</v>
      </c>
      <c r="I111" s="104">
        <f t="shared" si="17"/>
        <v>100</v>
      </c>
      <c r="J111" s="78">
        <v>35</v>
      </c>
      <c r="K111" s="105">
        <f t="shared" si="18"/>
        <v>65</v>
      </c>
      <c r="L111" s="142"/>
    </row>
    <row r="112" spans="2:12" ht="17" x14ac:dyDescent="0.2">
      <c r="B112" s="148"/>
      <c r="C112" s="149"/>
      <c r="D112" s="187" t="s">
        <v>94</v>
      </c>
      <c r="E112" s="188" t="s">
        <v>23</v>
      </c>
      <c r="F112" s="189">
        <v>1</v>
      </c>
      <c r="G112" s="189">
        <v>2</v>
      </c>
      <c r="H112" s="183">
        <v>1200</v>
      </c>
      <c r="I112" s="183">
        <f t="shared" si="17"/>
        <v>2400</v>
      </c>
      <c r="J112" s="190">
        <v>35</v>
      </c>
      <c r="K112" s="191">
        <f>(F112*G112*H112)*((100-J112)/100)</f>
        <v>1560</v>
      </c>
      <c r="L112" s="142"/>
    </row>
    <row r="113" spans="2:12" ht="17" x14ac:dyDescent="0.2">
      <c r="B113" s="148"/>
      <c r="C113" s="149"/>
      <c r="D113" s="58" t="s">
        <v>58</v>
      </c>
      <c r="E113" s="102" t="s">
        <v>23</v>
      </c>
      <c r="F113" s="48">
        <v>1</v>
      </c>
      <c r="G113" s="75">
        <v>2</v>
      </c>
      <c r="H113" s="16">
        <v>1000</v>
      </c>
      <c r="I113" s="16">
        <f t="shared" si="17"/>
        <v>2000</v>
      </c>
      <c r="J113" s="78">
        <v>35</v>
      </c>
      <c r="K113" s="12">
        <f t="shared" ref="K113:K120" si="19">(F113*G113*H113)*((100-J113)/100)</f>
        <v>1300</v>
      </c>
      <c r="L113" s="142"/>
    </row>
    <row r="114" spans="2:12" ht="17" x14ac:dyDescent="0.2">
      <c r="B114" s="148"/>
      <c r="C114" s="149"/>
      <c r="D114" s="58" t="s">
        <v>85</v>
      </c>
      <c r="E114" s="102" t="s">
        <v>23</v>
      </c>
      <c r="F114" s="48">
        <v>1</v>
      </c>
      <c r="G114" s="75">
        <v>2</v>
      </c>
      <c r="H114" s="16">
        <v>400</v>
      </c>
      <c r="I114" s="16">
        <f t="shared" si="17"/>
        <v>800</v>
      </c>
      <c r="J114" s="78">
        <v>35</v>
      </c>
      <c r="K114" s="12">
        <f t="shared" si="19"/>
        <v>520</v>
      </c>
      <c r="L114" s="142"/>
    </row>
    <row r="115" spans="2:12" ht="17" x14ac:dyDescent="0.2">
      <c r="B115" s="148"/>
      <c r="C115" s="149"/>
      <c r="D115" s="58" t="s">
        <v>40</v>
      </c>
      <c r="E115" s="102" t="s">
        <v>23</v>
      </c>
      <c r="F115" s="48">
        <v>2</v>
      </c>
      <c r="G115" s="75">
        <v>2</v>
      </c>
      <c r="H115" s="16">
        <v>200</v>
      </c>
      <c r="I115" s="16">
        <f t="shared" si="17"/>
        <v>800</v>
      </c>
      <c r="J115" s="78">
        <v>35</v>
      </c>
      <c r="K115" s="12">
        <f t="shared" si="19"/>
        <v>520</v>
      </c>
      <c r="L115" s="142"/>
    </row>
    <row r="116" spans="2:12" ht="17" x14ac:dyDescent="0.2">
      <c r="B116" s="148"/>
      <c r="C116" s="149"/>
      <c r="D116" s="192" t="s">
        <v>95</v>
      </c>
      <c r="E116" s="188" t="s">
        <v>23</v>
      </c>
      <c r="F116" s="193">
        <v>1</v>
      </c>
      <c r="G116" s="189">
        <v>2</v>
      </c>
      <c r="H116" s="183">
        <v>250</v>
      </c>
      <c r="I116" s="183">
        <f t="shared" si="17"/>
        <v>500</v>
      </c>
      <c r="J116" s="190">
        <v>35</v>
      </c>
      <c r="K116" s="191">
        <f t="shared" si="19"/>
        <v>325</v>
      </c>
      <c r="L116" s="142"/>
    </row>
    <row r="117" spans="2:12" ht="17" x14ac:dyDescent="0.2">
      <c r="B117" s="148"/>
      <c r="C117" s="149"/>
      <c r="D117" s="58" t="s">
        <v>79</v>
      </c>
      <c r="E117" s="102" t="s">
        <v>23</v>
      </c>
      <c r="F117" s="48">
        <v>1</v>
      </c>
      <c r="G117" s="75">
        <v>2</v>
      </c>
      <c r="H117" s="16">
        <v>200</v>
      </c>
      <c r="I117" s="16">
        <f t="shared" si="17"/>
        <v>400</v>
      </c>
      <c r="J117" s="78">
        <v>35</v>
      </c>
      <c r="K117" s="12">
        <f t="shared" si="19"/>
        <v>260</v>
      </c>
      <c r="L117" s="142"/>
    </row>
    <row r="118" spans="2:12" ht="17" x14ac:dyDescent="0.2">
      <c r="B118" s="148"/>
      <c r="C118" s="149"/>
      <c r="D118" s="58" t="s">
        <v>60</v>
      </c>
      <c r="E118" s="102" t="s">
        <v>23</v>
      </c>
      <c r="F118" s="48">
        <v>1</v>
      </c>
      <c r="G118" s="75">
        <v>2</v>
      </c>
      <c r="H118" s="16">
        <v>150</v>
      </c>
      <c r="I118" s="16">
        <f t="shared" si="17"/>
        <v>300</v>
      </c>
      <c r="J118" s="78">
        <v>35</v>
      </c>
      <c r="K118" s="12">
        <f t="shared" si="19"/>
        <v>195</v>
      </c>
      <c r="L118" s="142"/>
    </row>
    <row r="119" spans="2:12" ht="17" x14ac:dyDescent="0.2">
      <c r="B119" s="148"/>
      <c r="C119" s="149"/>
      <c r="D119" s="58" t="s">
        <v>12</v>
      </c>
      <c r="E119" s="102" t="s">
        <v>23</v>
      </c>
      <c r="F119" s="48">
        <v>1</v>
      </c>
      <c r="G119" s="75">
        <v>2</v>
      </c>
      <c r="H119" s="183">
        <v>70</v>
      </c>
      <c r="I119" s="16">
        <f t="shared" si="17"/>
        <v>140</v>
      </c>
      <c r="J119" s="78">
        <v>35</v>
      </c>
      <c r="K119" s="12">
        <f t="shared" si="19"/>
        <v>91</v>
      </c>
      <c r="L119" s="142"/>
    </row>
    <row r="120" spans="2:12" ht="17" x14ac:dyDescent="0.2">
      <c r="B120" s="148"/>
      <c r="C120" s="149"/>
      <c r="D120" s="58" t="s">
        <v>86</v>
      </c>
      <c r="E120" s="102" t="s">
        <v>23</v>
      </c>
      <c r="F120" s="48">
        <v>2</v>
      </c>
      <c r="G120" s="75">
        <v>2</v>
      </c>
      <c r="H120" s="183">
        <v>500</v>
      </c>
      <c r="I120" s="76">
        <f t="shared" si="17"/>
        <v>2000</v>
      </c>
      <c r="J120" s="78">
        <v>35</v>
      </c>
      <c r="K120" s="94">
        <f t="shared" si="19"/>
        <v>1300</v>
      </c>
      <c r="L120" s="142"/>
    </row>
    <row r="121" spans="2:12" ht="17" x14ac:dyDescent="0.2">
      <c r="B121" s="148"/>
      <c r="C121" s="149"/>
      <c r="D121" s="58" t="s">
        <v>11</v>
      </c>
      <c r="E121" s="102" t="s">
        <v>23</v>
      </c>
      <c r="F121" s="48">
        <v>1</v>
      </c>
      <c r="G121" s="75">
        <v>2</v>
      </c>
      <c r="H121" s="183">
        <v>50</v>
      </c>
      <c r="I121" s="16">
        <f t="shared" ref="I121:I123" si="20">F121*G121*H121</f>
        <v>100</v>
      </c>
      <c r="J121" s="78">
        <v>35</v>
      </c>
      <c r="K121" s="12">
        <f t="shared" ref="K121:K123" si="21">(F121*G121*H121)*((100-J121)/100)</f>
        <v>65</v>
      </c>
      <c r="L121" s="142"/>
    </row>
    <row r="122" spans="2:12" ht="17" x14ac:dyDescent="0.2">
      <c r="B122" s="148"/>
      <c r="C122" s="149"/>
      <c r="D122" s="58" t="s">
        <v>19</v>
      </c>
      <c r="E122" s="102" t="s">
        <v>23</v>
      </c>
      <c r="F122" s="48">
        <v>1</v>
      </c>
      <c r="G122" s="75">
        <v>2</v>
      </c>
      <c r="H122" s="183">
        <v>60</v>
      </c>
      <c r="I122" s="16">
        <f t="shared" si="20"/>
        <v>120</v>
      </c>
      <c r="J122" s="78">
        <v>35</v>
      </c>
      <c r="K122" s="12">
        <f t="shared" si="21"/>
        <v>78</v>
      </c>
      <c r="L122" s="142"/>
    </row>
    <row r="123" spans="2:12" ht="18" thickBot="1" x14ac:dyDescent="0.25">
      <c r="B123" s="148"/>
      <c r="C123" s="149"/>
      <c r="D123" s="95" t="s">
        <v>20</v>
      </c>
      <c r="E123" s="77" t="s">
        <v>23</v>
      </c>
      <c r="F123" s="78">
        <v>1</v>
      </c>
      <c r="G123" s="77">
        <v>2</v>
      </c>
      <c r="H123" s="79">
        <v>45</v>
      </c>
      <c r="I123" s="16">
        <f t="shared" si="20"/>
        <v>90</v>
      </c>
      <c r="J123" s="48">
        <v>35</v>
      </c>
      <c r="K123" s="12">
        <f t="shared" si="21"/>
        <v>58.5</v>
      </c>
      <c r="L123" s="142"/>
    </row>
    <row r="124" spans="2:12" ht="17" thickBot="1" x14ac:dyDescent="0.25">
      <c r="B124" s="148"/>
      <c r="C124" s="149"/>
      <c r="D124" s="171" t="s">
        <v>63</v>
      </c>
      <c r="E124" s="172"/>
      <c r="F124" s="172"/>
      <c r="G124" s="172"/>
      <c r="H124" s="172"/>
      <c r="I124" s="172"/>
      <c r="J124" s="172"/>
      <c r="K124" s="173"/>
      <c r="L124" s="142"/>
    </row>
    <row r="125" spans="2:12" ht="17" x14ac:dyDescent="0.2">
      <c r="B125" s="148"/>
      <c r="C125" s="149"/>
      <c r="D125" s="44" t="s">
        <v>80</v>
      </c>
      <c r="E125" s="75" t="s">
        <v>23</v>
      </c>
      <c r="F125" s="36">
        <v>1</v>
      </c>
      <c r="G125" s="36">
        <v>2</v>
      </c>
      <c r="H125" s="40">
        <v>550</v>
      </c>
      <c r="I125" s="16">
        <f t="shared" ref="I125:I129" si="22">F125*G125*H125</f>
        <v>1100</v>
      </c>
      <c r="J125" s="48">
        <v>35</v>
      </c>
      <c r="K125" s="12">
        <f t="shared" ref="K125:K129" si="23">(F125*G125*H125)*((100-J125)/100)</f>
        <v>715</v>
      </c>
      <c r="L125" s="142"/>
    </row>
    <row r="126" spans="2:12" ht="17" x14ac:dyDescent="0.2">
      <c r="B126" s="148"/>
      <c r="C126" s="149"/>
      <c r="D126" s="44" t="s">
        <v>9</v>
      </c>
      <c r="E126" s="75" t="s">
        <v>23</v>
      </c>
      <c r="F126" s="36">
        <v>6</v>
      </c>
      <c r="G126" s="36">
        <v>2</v>
      </c>
      <c r="H126" s="40">
        <v>200</v>
      </c>
      <c r="I126" s="16">
        <f t="shared" si="22"/>
        <v>2400</v>
      </c>
      <c r="J126" s="48">
        <v>35</v>
      </c>
      <c r="K126" s="12">
        <f t="shared" si="23"/>
        <v>1560</v>
      </c>
      <c r="L126" s="142"/>
    </row>
    <row r="127" spans="2:12" ht="17" x14ac:dyDescent="0.2">
      <c r="B127" s="148"/>
      <c r="C127" s="149"/>
      <c r="D127" s="44" t="s">
        <v>13</v>
      </c>
      <c r="E127" s="75" t="s">
        <v>23</v>
      </c>
      <c r="F127" s="36">
        <v>2</v>
      </c>
      <c r="G127" s="36">
        <v>2</v>
      </c>
      <c r="H127" s="40">
        <v>75</v>
      </c>
      <c r="I127" s="16">
        <f t="shared" si="22"/>
        <v>300</v>
      </c>
      <c r="J127" s="48">
        <v>35</v>
      </c>
      <c r="K127" s="12">
        <f t="shared" si="23"/>
        <v>195</v>
      </c>
      <c r="L127" s="142"/>
    </row>
    <row r="128" spans="2:12" ht="17" x14ac:dyDescent="0.2">
      <c r="B128" s="148"/>
      <c r="C128" s="149"/>
      <c r="D128" s="44" t="s">
        <v>26</v>
      </c>
      <c r="E128" s="75" t="s">
        <v>23</v>
      </c>
      <c r="F128" s="36">
        <v>4</v>
      </c>
      <c r="G128" s="36">
        <v>2</v>
      </c>
      <c r="H128" s="40">
        <v>200</v>
      </c>
      <c r="I128" s="16">
        <f t="shared" si="22"/>
        <v>1600</v>
      </c>
      <c r="J128" s="48">
        <v>35</v>
      </c>
      <c r="K128" s="12">
        <f t="shared" si="23"/>
        <v>1040</v>
      </c>
      <c r="L128" s="142"/>
    </row>
    <row r="129" spans="2:12" ht="18" thickBot="1" x14ac:dyDescent="0.25">
      <c r="B129" s="148"/>
      <c r="C129" s="149"/>
      <c r="D129" s="44" t="s">
        <v>33</v>
      </c>
      <c r="E129" s="75" t="s">
        <v>23</v>
      </c>
      <c r="F129" s="36">
        <v>2</v>
      </c>
      <c r="G129" s="36">
        <v>2</v>
      </c>
      <c r="H129" s="40">
        <v>200</v>
      </c>
      <c r="I129" s="16">
        <f t="shared" si="22"/>
        <v>800</v>
      </c>
      <c r="J129" s="48">
        <v>35</v>
      </c>
      <c r="K129" s="12">
        <f t="shared" si="23"/>
        <v>520</v>
      </c>
      <c r="L129" s="142"/>
    </row>
    <row r="130" spans="2:12" ht="17" thickBot="1" x14ac:dyDescent="0.25">
      <c r="B130" s="148"/>
      <c r="C130" s="149"/>
      <c r="D130" s="171" t="s">
        <v>69</v>
      </c>
      <c r="E130" s="172"/>
      <c r="F130" s="172"/>
      <c r="G130" s="172"/>
      <c r="H130" s="172"/>
      <c r="I130" s="172"/>
      <c r="J130" s="172"/>
      <c r="K130" s="173"/>
      <c r="L130" s="142"/>
    </row>
    <row r="131" spans="2:12" x14ac:dyDescent="0.2">
      <c r="B131" s="148"/>
      <c r="C131" s="149"/>
      <c r="D131" s="124" t="s">
        <v>87</v>
      </c>
      <c r="E131" s="70" t="s">
        <v>23</v>
      </c>
      <c r="F131" s="70">
        <v>8</v>
      </c>
      <c r="G131" s="70">
        <v>2</v>
      </c>
      <c r="H131" s="125">
        <v>80</v>
      </c>
      <c r="I131" s="69">
        <f t="shared" ref="I131:I133" si="24">F131*G131*H131</f>
        <v>1280</v>
      </c>
      <c r="J131" s="70">
        <v>35</v>
      </c>
      <c r="K131" s="71">
        <f t="shared" ref="K131:K133" si="25">(F131*G131*H131)*((100-J131)/100)</f>
        <v>832</v>
      </c>
      <c r="L131" s="142"/>
    </row>
    <row r="132" spans="2:12" x14ac:dyDescent="0.2">
      <c r="B132" s="169"/>
      <c r="C132" s="170"/>
      <c r="D132" s="126" t="s">
        <v>10</v>
      </c>
      <c r="E132" s="127" t="s">
        <v>23</v>
      </c>
      <c r="F132" s="127">
        <v>1</v>
      </c>
      <c r="G132" s="127">
        <v>2</v>
      </c>
      <c r="H132" s="178">
        <v>50</v>
      </c>
      <c r="I132" s="129">
        <f t="shared" si="24"/>
        <v>100</v>
      </c>
      <c r="J132" s="127">
        <v>35</v>
      </c>
      <c r="K132" s="130">
        <f t="shared" si="25"/>
        <v>65</v>
      </c>
      <c r="L132" s="142"/>
    </row>
    <row r="133" spans="2:12" ht="17" thickBot="1" x14ac:dyDescent="0.25">
      <c r="B133" s="150"/>
      <c r="C133" s="151"/>
      <c r="D133" s="45" t="s">
        <v>88</v>
      </c>
      <c r="E133" s="19" t="s">
        <v>23</v>
      </c>
      <c r="F133" s="19">
        <v>2</v>
      </c>
      <c r="G133" s="19">
        <v>2</v>
      </c>
      <c r="H133" s="123">
        <v>30</v>
      </c>
      <c r="I133" s="20">
        <f t="shared" si="24"/>
        <v>120</v>
      </c>
      <c r="J133" s="19">
        <v>35</v>
      </c>
      <c r="K133" s="13">
        <f t="shared" si="25"/>
        <v>78</v>
      </c>
      <c r="L133" s="143"/>
    </row>
    <row r="134" spans="2:12" ht="17" thickBot="1" x14ac:dyDescent="0.25">
      <c r="B134" s="4"/>
      <c r="C134" s="4"/>
      <c r="H134" s="154" t="s">
        <v>7</v>
      </c>
      <c r="I134" s="155"/>
      <c r="J134" s="156"/>
      <c r="K134" s="18">
        <f>SUM(K103:K133)</f>
        <v>21755.5</v>
      </c>
    </row>
    <row r="135" spans="2:12" ht="17" thickBot="1" x14ac:dyDescent="0.25"/>
    <row r="136" spans="2:12" ht="31" thickBot="1" x14ac:dyDescent="0.25">
      <c r="B136" s="133" t="s">
        <v>45</v>
      </c>
      <c r="C136" s="134"/>
      <c r="D136" s="134"/>
      <c r="E136" s="53" t="s">
        <v>22</v>
      </c>
      <c r="F136" s="43" t="s">
        <v>1</v>
      </c>
      <c r="G136" s="43" t="s">
        <v>2</v>
      </c>
      <c r="H136" s="43" t="s">
        <v>3</v>
      </c>
      <c r="I136" s="43" t="s">
        <v>4</v>
      </c>
      <c r="J136" s="43" t="s">
        <v>5</v>
      </c>
      <c r="K136" s="43" t="s">
        <v>6</v>
      </c>
    </row>
    <row r="137" spans="2:12" ht="17" thickBot="1" x14ac:dyDescent="0.25">
      <c r="B137" s="163" t="s">
        <v>29</v>
      </c>
      <c r="C137" s="164"/>
      <c r="D137" s="62" t="s">
        <v>38</v>
      </c>
      <c r="E137" s="120" t="s">
        <v>23</v>
      </c>
      <c r="F137" s="121">
        <v>1</v>
      </c>
      <c r="G137" s="121">
        <v>2</v>
      </c>
      <c r="H137" s="122">
        <v>200</v>
      </c>
      <c r="I137" s="122">
        <f t="shared" ref="I137:I138" si="26">F137*G137*H137</f>
        <v>400</v>
      </c>
      <c r="J137" s="121">
        <v>35</v>
      </c>
      <c r="K137" s="63">
        <f t="shared" ref="K137:K138" si="27">(F137*G137*H137)*((100-J137)/100)</f>
        <v>260</v>
      </c>
    </row>
    <row r="138" spans="2:12" ht="17" thickBot="1" x14ac:dyDescent="0.25">
      <c r="B138" s="144" t="s">
        <v>30</v>
      </c>
      <c r="C138" s="145"/>
      <c r="D138" s="46" t="s">
        <v>27</v>
      </c>
      <c r="E138" s="2" t="s">
        <v>28</v>
      </c>
      <c r="F138" s="21">
        <v>4</v>
      </c>
      <c r="G138" s="21">
        <v>1</v>
      </c>
      <c r="H138" s="22">
        <v>85</v>
      </c>
      <c r="I138" s="22">
        <f t="shared" si="26"/>
        <v>340</v>
      </c>
      <c r="J138" s="21">
        <v>0</v>
      </c>
      <c r="K138" s="11">
        <f t="shared" si="27"/>
        <v>340</v>
      </c>
    </row>
    <row r="139" spans="2:12" x14ac:dyDescent="0.2">
      <c r="B139" s="133" t="s">
        <v>15</v>
      </c>
      <c r="C139" s="134"/>
      <c r="D139" s="46" t="s">
        <v>16</v>
      </c>
      <c r="E139" s="2" t="s">
        <v>23</v>
      </c>
      <c r="F139" s="21">
        <v>8</v>
      </c>
      <c r="G139" s="21">
        <v>1</v>
      </c>
      <c r="H139" s="22">
        <v>60</v>
      </c>
      <c r="I139" s="22">
        <f t="shared" ref="I139:I140" si="28">F139*G139*H139</f>
        <v>480</v>
      </c>
      <c r="J139" s="21">
        <v>0</v>
      </c>
      <c r="K139" s="11">
        <f t="shared" ref="K139:K140" si="29">(F139*G139*H139)*((100-J139)/100)</f>
        <v>480</v>
      </c>
    </row>
    <row r="140" spans="2:12" ht="17" thickBot="1" x14ac:dyDescent="0.25">
      <c r="B140" s="166"/>
      <c r="C140" s="167"/>
      <c r="D140" s="45" t="s">
        <v>17</v>
      </c>
      <c r="E140" s="3" t="s">
        <v>23</v>
      </c>
      <c r="F140" s="19">
        <v>200</v>
      </c>
      <c r="G140" s="19">
        <v>1</v>
      </c>
      <c r="H140" s="20">
        <v>1.32</v>
      </c>
      <c r="I140" s="20">
        <f t="shared" si="28"/>
        <v>264</v>
      </c>
      <c r="J140" s="19">
        <v>0</v>
      </c>
      <c r="K140" s="13">
        <f t="shared" si="29"/>
        <v>264</v>
      </c>
    </row>
    <row r="141" spans="2:12" ht="17" thickBot="1" x14ac:dyDescent="0.25">
      <c r="H141" s="154" t="s">
        <v>7</v>
      </c>
      <c r="I141" s="155"/>
      <c r="J141" s="156"/>
      <c r="K141" s="18">
        <f>SUM(K137:K140)</f>
        <v>1344</v>
      </c>
    </row>
    <row r="142" spans="2:12" ht="17" thickBot="1" x14ac:dyDescent="0.25">
      <c r="B142" s="4"/>
      <c r="C142" s="4"/>
      <c r="K142" s="5"/>
    </row>
    <row r="143" spans="2:12" ht="31" thickBot="1" x14ac:dyDescent="0.25">
      <c r="B143" s="163" t="s">
        <v>45</v>
      </c>
      <c r="C143" s="164"/>
      <c r="D143" s="165"/>
      <c r="E143" s="53" t="s">
        <v>22</v>
      </c>
      <c r="F143" s="43" t="s">
        <v>1</v>
      </c>
      <c r="G143" s="43" t="s">
        <v>2</v>
      </c>
      <c r="H143" s="43" t="s">
        <v>3</v>
      </c>
      <c r="I143" s="43" t="s">
        <v>4</v>
      </c>
      <c r="J143" s="43" t="s">
        <v>5</v>
      </c>
      <c r="K143" s="43" t="s">
        <v>6</v>
      </c>
    </row>
    <row r="144" spans="2:12" x14ac:dyDescent="0.2">
      <c r="B144" s="131"/>
      <c r="C144" s="209"/>
      <c r="D144" s="202" t="s">
        <v>96</v>
      </c>
      <c r="E144" s="64" t="s">
        <v>23</v>
      </c>
      <c r="F144" s="37">
        <v>13</v>
      </c>
      <c r="G144" s="37">
        <v>1</v>
      </c>
      <c r="H144" s="39">
        <v>900</v>
      </c>
      <c r="I144" s="22">
        <f t="shared" ref="I144:I147" si="30">F144*G144*H144</f>
        <v>11700</v>
      </c>
      <c r="J144" s="21">
        <v>0</v>
      </c>
      <c r="K144" s="11">
        <f t="shared" ref="K144:K147" si="31">(F144*G144*H144)*((100-J144)/100)</f>
        <v>11700</v>
      </c>
    </row>
    <row r="145" spans="2:12" x14ac:dyDescent="0.2">
      <c r="B145" s="42"/>
      <c r="C145" s="132"/>
      <c r="D145" s="203" t="s">
        <v>97</v>
      </c>
      <c r="E145" s="68" t="s">
        <v>23</v>
      </c>
      <c r="F145" s="30">
        <v>1</v>
      </c>
      <c r="G145" s="30">
        <v>3</v>
      </c>
      <c r="H145" s="31">
        <v>900</v>
      </c>
      <c r="I145" s="16">
        <f t="shared" si="30"/>
        <v>2700</v>
      </c>
      <c r="J145" s="48">
        <v>0</v>
      </c>
      <c r="K145" s="12">
        <f t="shared" si="31"/>
        <v>2700</v>
      </c>
    </row>
    <row r="146" spans="2:12" ht="17" customHeight="1" x14ac:dyDescent="0.2">
      <c r="B146" s="137" t="s">
        <v>34</v>
      </c>
      <c r="C146" s="152"/>
      <c r="D146" s="204" t="s">
        <v>98</v>
      </c>
      <c r="E146" s="65" t="s">
        <v>23</v>
      </c>
      <c r="F146" s="55">
        <v>1</v>
      </c>
      <c r="G146" s="30">
        <v>3</v>
      </c>
      <c r="H146" s="31">
        <v>900</v>
      </c>
      <c r="I146" s="16">
        <f t="shared" si="30"/>
        <v>2700</v>
      </c>
      <c r="J146" s="48">
        <v>0</v>
      </c>
      <c r="K146" s="12">
        <f t="shared" si="31"/>
        <v>2700</v>
      </c>
    </row>
    <row r="147" spans="2:12" x14ac:dyDescent="0.2">
      <c r="B147" s="137"/>
      <c r="C147" s="152"/>
      <c r="D147" s="204" t="s">
        <v>99</v>
      </c>
      <c r="E147" s="65" t="s">
        <v>23</v>
      </c>
      <c r="F147" s="55">
        <v>1</v>
      </c>
      <c r="G147" s="30">
        <v>3</v>
      </c>
      <c r="H147" s="31">
        <v>900</v>
      </c>
      <c r="I147" s="16">
        <f t="shared" si="30"/>
        <v>2700</v>
      </c>
      <c r="J147" s="48">
        <v>0</v>
      </c>
      <c r="K147" s="12">
        <f t="shared" si="31"/>
        <v>2700</v>
      </c>
    </row>
    <row r="148" spans="2:12" x14ac:dyDescent="0.2">
      <c r="B148" s="137"/>
      <c r="C148" s="152"/>
      <c r="D148" s="204" t="s">
        <v>102</v>
      </c>
      <c r="E148" s="65" t="s">
        <v>23</v>
      </c>
      <c r="F148" s="55">
        <v>2</v>
      </c>
      <c r="G148" s="30">
        <v>2</v>
      </c>
      <c r="H148" s="31">
        <v>900</v>
      </c>
      <c r="I148" s="16">
        <f t="shared" ref="I148:I157" si="32">F148*G148*H148</f>
        <v>3600</v>
      </c>
      <c r="J148" s="48">
        <v>0</v>
      </c>
      <c r="K148" s="12">
        <f t="shared" ref="K148:K157" si="33">(F148*G148*H148)*((100-J148)/100)</f>
        <v>3600</v>
      </c>
    </row>
    <row r="149" spans="2:12" x14ac:dyDescent="0.2">
      <c r="B149" s="137"/>
      <c r="C149" s="152"/>
      <c r="D149" s="205" t="s">
        <v>103</v>
      </c>
      <c r="E149" s="65" t="s">
        <v>23</v>
      </c>
      <c r="F149" s="55">
        <v>2</v>
      </c>
      <c r="G149" s="30">
        <v>2</v>
      </c>
      <c r="H149" s="31">
        <v>900</v>
      </c>
      <c r="I149" s="16">
        <f t="shared" si="32"/>
        <v>3600</v>
      </c>
      <c r="J149" s="48">
        <v>0</v>
      </c>
      <c r="K149" s="12">
        <f t="shared" si="33"/>
        <v>3600</v>
      </c>
    </row>
    <row r="150" spans="2:12" x14ac:dyDescent="0.2">
      <c r="B150" s="137"/>
      <c r="C150" s="152"/>
      <c r="D150" s="205" t="s">
        <v>104</v>
      </c>
      <c r="E150" s="65" t="s">
        <v>23</v>
      </c>
      <c r="F150" s="55">
        <v>2</v>
      </c>
      <c r="G150" s="30">
        <v>2</v>
      </c>
      <c r="H150" s="31">
        <v>900</v>
      </c>
      <c r="I150" s="16">
        <f t="shared" si="32"/>
        <v>3600</v>
      </c>
      <c r="J150" s="48">
        <v>0</v>
      </c>
      <c r="K150" s="12">
        <f t="shared" si="33"/>
        <v>3600</v>
      </c>
    </row>
    <row r="151" spans="2:12" x14ac:dyDescent="0.2">
      <c r="B151" s="137"/>
      <c r="C151" s="152"/>
      <c r="D151" s="204" t="s">
        <v>100</v>
      </c>
      <c r="E151" s="24" t="s">
        <v>23</v>
      </c>
      <c r="F151" s="30">
        <v>2</v>
      </c>
      <c r="G151" s="30">
        <v>2</v>
      </c>
      <c r="H151" s="31">
        <v>900</v>
      </c>
      <c r="I151" s="16">
        <f t="shared" si="32"/>
        <v>3600</v>
      </c>
      <c r="J151" s="48">
        <v>0</v>
      </c>
      <c r="K151" s="12">
        <f t="shared" si="33"/>
        <v>3600</v>
      </c>
    </row>
    <row r="152" spans="2:12" x14ac:dyDescent="0.2">
      <c r="B152" s="137"/>
      <c r="C152" s="152"/>
      <c r="D152" s="204" t="s">
        <v>101</v>
      </c>
      <c r="E152" s="24" t="s">
        <v>23</v>
      </c>
      <c r="F152" s="30">
        <v>1</v>
      </c>
      <c r="G152" s="30">
        <v>2</v>
      </c>
      <c r="H152" s="31">
        <v>900</v>
      </c>
      <c r="I152" s="16">
        <f t="shared" si="32"/>
        <v>1800</v>
      </c>
      <c r="J152" s="48">
        <v>0</v>
      </c>
      <c r="K152" s="12">
        <f t="shared" si="33"/>
        <v>1800</v>
      </c>
    </row>
    <row r="153" spans="2:12" x14ac:dyDescent="0.2">
      <c r="B153" s="137"/>
      <c r="C153" s="152"/>
      <c r="D153" s="204" t="s">
        <v>107</v>
      </c>
      <c r="E153" s="65" t="s">
        <v>23</v>
      </c>
      <c r="F153" s="55">
        <v>1</v>
      </c>
      <c r="G153" s="30">
        <v>3</v>
      </c>
      <c r="H153" s="31">
        <v>1200</v>
      </c>
      <c r="I153" s="16">
        <f t="shared" si="32"/>
        <v>3600</v>
      </c>
      <c r="J153" s="48">
        <v>0</v>
      </c>
      <c r="K153" s="12">
        <f t="shared" si="33"/>
        <v>3600</v>
      </c>
    </row>
    <row r="154" spans="2:12" x14ac:dyDescent="0.2">
      <c r="B154" s="137"/>
      <c r="C154" s="152"/>
      <c r="D154" s="204" t="s">
        <v>105</v>
      </c>
      <c r="E154" s="24" t="s">
        <v>23</v>
      </c>
      <c r="F154" s="30"/>
      <c r="G154" s="30"/>
      <c r="H154" s="31"/>
      <c r="I154" s="16">
        <f t="shared" ref="I154" si="34">F154*G154*H154</f>
        <v>0</v>
      </c>
      <c r="J154" s="48">
        <v>0</v>
      </c>
      <c r="K154" s="12">
        <v>6000</v>
      </c>
    </row>
    <row r="155" spans="2:12" x14ac:dyDescent="0.2">
      <c r="B155" s="137"/>
      <c r="C155" s="152"/>
      <c r="D155" s="204" t="s">
        <v>106</v>
      </c>
      <c r="E155" s="65" t="s">
        <v>23</v>
      </c>
      <c r="F155" s="55">
        <v>6</v>
      </c>
      <c r="G155" s="30">
        <v>3</v>
      </c>
      <c r="H155" s="31">
        <v>250</v>
      </c>
      <c r="I155" s="16">
        <f t="shared" si="32"/>
        <v>4500</v>
      </c>
      <c r="J155" s="48">
        <v>0</v>
      </c>
      <c r="K155" s="12">
        <f t="shared" si="33"/>
        <v>4500</v>
      </c>
    </row>
    <row r="156" spans="2:12" x14ac:dyDescent="0.2">
      <c r="B156" s="137"/>
      <c r="C156" s="152"/>
      <c r="D156" s="206" t="s">
        <v>108</v>
      </c>
      <c r="E156" s="24" t="s">
        <v>23</v>
      </c>
      <c r="F156" s="32">
        <v>2</v>
      </c>
      <c r="G156" s="32">
        <v>1</v>
      </c>
      <c r="H156" s="33">
        <v>600</v>
      </c>
      <c r="I156" s="16">
        <f t="shared" si="32"/>
        <v>1200</v>
      </c>
      <c r="J156" s="48">
        <v>0</v>
      </c>
      <c r="K156" s="12">
        <f t="shared" si="33"/>
        <v>1200</v>
      </c>
    </row>
    <row r="157" spans="2:12" x14ac:dyDescent="0.2">
      <c r="B157" s="137"/>
      <c r="C157" s="152"/>
      <c r="D157" s="207"/>
      <c r="E157" s="26" t="s">
        <v>23</v>
      </c>
      <c r="F157" s="34"/>
      <c r="G157" s="34"/>
      <c r="H157" s="35"/>
      <c r="I157" s="16">
        <f t="shared" si="32"/>
        <v>0</v>
      </c>
      <c r="J157" s="48">
        <v>0</v>
      </c>
      <c r="K157" s="12">
        <f t="shared" si="33"/>
        <v>0</v>
      </c>
    </row>
    <row r="158" spans="2:12" ht="17" thickBot="1" x14ac:dyDescent="0.25">
      <c r="B158" s="139"/>
      <c r="C158" s="153"/>
      <c r="D158" s="208"/>
      <c r="E158" s="25" t="s">
        <v>23</v>
      </c>
      <c r="F158" s="66"/>
      <c r="G158" s="66"/>
      <c r="H158" s="67"/>
      <c r="I158" s="20">
        <f t="shared" ref="I158" si="35">F158*G158*H158</f>
        <v>0</v>
      </c>
      <c r="J158" s="19">
        <v>0</v>
      </c>
      <c r="K158" s="13">
        <f t="shared" ref="K158" si="36">(F158*G158*H158)*((100-J158)/100)</f>
        <v>0</v>
      </c>
    </row>
    <row r="159" spans="2:12" ht="17" thickBot="1" x14ac:dyDescent="0.25">
      <c r="B159" s="6"/>
      <c r="C159" s="6"/>
      <c r="H159" s="154" t="s">
        <v>7</v>
      </c>
      <c r="I159" s="155"/>
      <c r="J159" s="156"/>
      <c r="K159" s="18">
        <f>SUM(K144:K158)</f>
        <v>51300</v>
      </c>
      <c r="L159" s="29" t="s">
        <v>25</v>
      </c>
    </row>
    <row r="160" spans="2:12" ht="17" thickBot="1" x14ac:dyDescent="0.25">
      <c r="B160" s="4"/>
      <c r="C160" s="4"/>
      <c r="K160" s="5"/>
    </row>
    <row r="161" spans="2:11" ht="31" thickBot="1" x14ac:dyDescent="0.25">
      <c r="B161" s="163" t="s">
        <v>45</v>
      </c>
      <c r="C161" s="164"/>
      <c r="D161" s="165"/>
      <c r="E161" s="27" t="s">
        <v>22</v>
      </c>
      <c r="F161" s="7" t="s">
        <v>1</v>
      </c>
      <c r="G161" s="7" t="s">
        <v>2</v>
      </c>
      <c r="H161" s="7" t="s">
        <v>3</v>
      </c>
      <c r="I161" s="7" t="s">
        <v>4</v>
      </c>
      <c r="J161" s="7" t="s">
        <v>5</v>
      </c>
      <c r="K161" s="7" t="s">
        <v>6</v>
      </c>
    </row>
    <row r="162" spans="2:11" x14ac:dyDescent="0.2">
      <c r="B162" s="135" t="s">
        <v>84</v>
      </c>
      <c r="C162" s="136"/>
      <c r="D162" s="46"/>
      <c r="E162" s="23" t="s">
        <v>37</v>
      </c>
      <c r="F162" s="15"/>
      <c r="G162" s="15"/>
      <c r="H162" s="8"/>
      <c r="I162" s="8">
        <f>F162*G162*H162</f>
        <v>0</v>
      </c>
      <c r="J162" s="15">
        <v>0</v>
      </c>
      <c r="K162" s="11">
        <f>(F162*G162*H162)*((100-J162)/100)</f>
        <v>0</v>
      </c>
    </row>
    <row r="163" spans="2:11" x14ac:dyDescent="0.2">
      <c r="B163" s="137"/>
      <c r="C163" s="138"/>
      <c r="D163" s="47"/>
      <c r="E163" s="1" t="s">
        <v>37</v>
      </c>
      <c r="F163" s="17"/>
      <c r="G163" s="17"/>
      <c r="H163" s="14"/>
      <c r="I163" s="9">
        <f t="shared" ref="I163:I164" si="37">F163*G163*H163</f>
        <v>0</v>
      </c>
      <c r="J163" s="17">
        <v>0</v>
      </c>
      <c r="K163" s="12">
        <f t="shared" ref="K163:K164" si="38">(F163*G163*H163)*((100-J163)/100)</f>
        <v>0</v>
      </c>
    </row>
    <row r="164" spans="2:11" ht="17" thickBot="1" x14ac:dyDescent="0.25">
      <c r="B164" s="139"/>
      <c r="C164" s="140"/>
      <c r="D164" s="49"/>
      <c r="E164" s="50" t="s">
        <v>37</v>
      </c>
      <c r="F164" s="51"/>
      <c r="G164" s="51"/>
      <c r="H164" s="52"/>
      <c r="I164" s="10">
        <f t="shared" si="37"/>
        <v>0</v>
      </c>
      <c r="J164" s="51">
        <v>0</v>
      </c>
      <c r="K164" s="13">
        <f t="shared" si="38"/>
        <v>0</v>
      </c>
    </row>
    <row r="165" spans="2:11" ht="17" thickBot="1" x14ac:dyDescent="0.25">
      <c r="B165" s="6"/>
      <c r="C165" s="6"/>
      <c r="H165" s="154" t="s">
        <v>7</v>
      </c>
      <c r="I165" s="155"/>
      <c r="J165" s="156"/>
      <c r="K165" s="18">
        <f>SUM(K162:K164)</f>
        <v>0</v>
      </c>
    </row>
    <row r="166" spans="2:11" ht="17" customHeight="1" x14ac:dyDescent="0.2">
      <c r="B166" s="4"/>
      <c r="C166" s="4"/>
      <c r="K166" s="5"/>
    </row>
    <row r="167" spans="2:11" ht="17" thickBot="1" x14ac:dyDescent="0.25"/>
    <row r="168" spans="2:11" ht="17" thickBot="1" x14ac:dyDescent="0.25">
      <c r="F168" s="160" t="s">
        <v>18</v>
      </c>
      <c r="G168" s="161"/>
      <c r="H168" s="161"/>
      <c r="I168" s="162"/>
      <c r="J168" s="168">
        <f>K28+K55+K100+K134+K141+K159+K165</f>
        <v>137263.75</v>
      </c>
      <c r="K168" s="162"/>
    </row>
    <row r="171" spans="2:11" x14ac:dyDescent="0.2">
      <c r="K171" s="41"/>
    </row>
  </sheetData>
  <mergeCells count="41">
    <mergeCell ref="D45:K45"/>
    <mergeCell ref="D51:K51"/>
    <mergeCell ref="D58:K58"/>
    <mergeCell ref="D80:K80"/>
    <mergeCell ref="D89:K89"/>
    <mergeCell ref="L103:L133"/>
    <mergeCell ref="H134:J134"/>
    <mergeCell ref="B103:C133"/>
    <mergeCell ref="D124:K124"/>
    <mergeCell ref="D130:K130"/>
    <mergeCell ref="D103:K103"/>
    <mergeCell ref="H159:J159"/>
    <mergeCell ref="H100:J100"/>
    <mergeCell ref="F168:I168"/>
    <mergeCell ref="B161:D161"/>
    <mergeCell ref="B162:C164"/>
    <mergeCell ref="H165:J165"/>
    <mergeCell ref="B138:C138"/>
    <mergeCell ref="H141:J141"/>
    <mergeCell ref="B139:C140"/>
    <mergeCell ref="B137:C137"/>
    <mergeCell ref="B143:D143"/>
    <mergeCell ref="B146:C158"/>
    <mergeCell ref="J168:K168"/>
    <mergeCell ref="B136:D136"/>
    <mergeCell ref="B3:D3"/>
    <mergeCell ref="B4:C27"/>
    <mergeCell ref="L31:L54"/>
    <mergeCell ref="B57:D57"/>
    <mergeCell ref="B102:D102"/>
    <mergeCell ref="B30:D30"/>
    <mergeCell ref="B58:C99"/>
    <mergeCell ref="L4:L27"/>
    <mergeCell ref="L58:L99"/>
    <mergeCell ref="B31:C54"/>
    <mergeCell ref="H55:J55"/>
    <mergeCell ref="H28:J28"/>
    <mergeCell ref="D4:K4"/>
    <mergeCell ref="D18:K18"/>
    <mergeCell ref="D24:K24"/>
    <mergeCell ref="D31:K31"/>
  </mergeCells>
  <phoneticPr fontId="3" type="noConversion"/>
  <pageMargins left="0.7" right="0.7" top="0.75" bottom="0.75" header="0.3" footer="0.3"/>
  <pageSetup paperSize="9" scale="6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Wycena</vt:lpstr>
      <vt:lpstr>Wycena!Obszar_wydruku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Użytkownik Microsoft Office</dc:creator>
  <cp:lastModifiedBy>Dominik Kuźma</cp:lastModifiedBy>
  <cp:lastPrinted>2018-05-12T09:39:11Z</cp:lastPrinted>
  <dcterms:created xsi:type="dcterms:W3CDTF">2016-05-10T20:22:25Z</dcterms:created>
  <dcterms:modified xsi:type="dcterms:W3CDTF">2026-07-09T16:21:48Z</dcterms:modified>
</cp:coreProperties>
</file>